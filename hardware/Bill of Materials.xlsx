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Documents\Projects\roller-shutter-controller\hardware\"/>
    </mc:Choice>
  </mc:AlternateContent>
  <xr:revisionPtr revIDLastSave="0" documentId="13_ncr:1_{653BA3CE-0FE0-4CCE-B4EE-142ADB3E017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E34" i="1"/>
  <c r="E33" i="1"/>
  <c r="G33" i="1" s="1"/>
  <c r="E32" i="1"/>
  <c r="G32" i="1" s="1"/>
  <c r="E31" i="1"/>
  <c r="G31" i="1" s="1"/>
  <c r="F26" i="1"/>
  <c r="G26" i="1" s="1"/>
  <c r="E26" i="1"/>
  <c r="G25" i="1"/>
  <c r="E25" i="1"/>
  <c r="G23" i="1"/>
  <c r="E23" i="1"/>
  <c r="G22" i="1"/>
  <c r="E22" i="1"/>
  <c r="G21" i="1"/>
  <c r="E21" i="1"/>
  <c r="G20" i="1"/>
  <c r="E20" i="1"/>
  <c r="F19" i="1"/>
  <c r="G19" i="1" s="1"/>
  <c r="E19" i="1"/>
  <c r="F18" i="1"/>
  <c r="G18" i="1" s="1"/>
  <c r="E18" i="1"/>
  <c r="F17" i="1"/>
  <c r="G17" i="1" s="1"/>
  <c r="E17" i="1"/>
  <c r="F16" i="1"/>
  <c r="G16" i="1" s="1"/>
  <c r="E16" i="1"/>
  <c r="F15" i="1"/>
  <c r="G15" i="1" s="1"/>
  <c r="E15" i="1"/>
  <c r="G13" i="1"/>
  <c r="E13" i="1"/>
  <c r="G12" i="1"/>
  <c r="E12" i="1"/>
  <c r="G11" i="1"/>
  <c r="E11" i="1"/>
  <c r="G10" i="1"/>
  <c r="E10" i="1"/>
  <c r="F9" i="1"/>
  <c r="G9" i="1" s="1"/>
  <c r="G8" i="1"/>
  <c r="E8" i="1"/>
  <c r="G7" i="1"/>
  <c r="E7" i="1"/>
  <c r="G6" i="1"/>
  <c r="E6" i="1"/>
  <c r="G5" i="1"/>
  <c r="E5" i="1"/>
  <c r="G4" i="1"/>
  <c r="E4" i="1"/>
  <c r="E28" i="1" s="1"/>
  <c r="G36" i="1" l="1"/>
  <c r="E36" i="1"/>
  <c r="E40" i="1" s="1"/>
  <c r="G38" i="1"/>
  <c r="G28" i="1"/>
  <c r="G40" i="1" s="1"/>
</calcChain>
</file>

<file path=xl/sharedStrings.xml><?xml version="1.0" encoding="utf-8"?>
<sst xmlns="http://schemas.openxmlformats.org/spreadsheetml/2006/main" count="158" uniqueCount="128">
  <si>
    <t>Reference(s)</t>
  </si>
  <si>
    <t>Value</t>
  </si>
  <si>
    <t>Price (Each)</t>
  </si>
  <si>
    <t>PCB Qty</t>
  </si>
  <si>
    <t>PCB (Total)</t>
  </si>
  <si>
    <t>Order Qty</t>
  </si>
  <si>
    <t>Order (Total)</t>
  </si>
  <si>
    <t>Ordered?</t>
  </si>
  <si>
    <t>Link</t>
  </si>
  <si>
    <t>LibPart</t>
  </si>
  <si>
    <t>Footprint</t>
  </si>
  <si>
    <t>Datasheet</t>
  </si>
  <si>
    <t>Notes</t>
  </si>
  <si>
    <t>KiCad BOM</t>
  </si>
  <si>
    <t>C1, C2</t>
  </si>
  <si>
    <t>10nF</t>
  </si>
  <si>
    <t>https://www.digikey.co.uk/en/products/detail/kemet/C0603C103M5RAC7411/12701322</t>
  </si>
  <si>
    <t>Device:C</t>
  </si>
  <si>
    <t>~</t>
  </si>
  <si>
    <t>C3, C4, C5</t>
  </si>
  <si>
    <t>10uF</t>
  </si>
  <si>
    <t>https://www.digikey.co.uk/en/products/detail/kemet/C1210C106K5RAC7800/4918882</t>
  </si>
  <si>
    <t>50V</t>
  </si>
  <si>
    <t>C6</t>
  </si>
  <si>
    <t>0.1uF</t>
  </si>
  <si>
    <t>https://www.digikey.co.uk/en/products/detail/kemet/C0603C104K4RAC7081/6873865</t>
  </si>
  <si>
    <t>C7</t>
  </si>
  <si>
    <t>1uF</t>
  </si>
  <si>
    <t>https://www.digikey.co.uk/en/products/detail/kemet/C0603C105K8PAC7411/12701126</t>
  </si>
  <si>
    <t>D1, D2</t>
  </si>
  <si>
    <t>D_Zener</t>
  </si>
  <si>
    <t>https://www.digikey.co.uk/en/products/detail/diodes-incorporated/MMBZ5226B-7-F/717773</t>
  </si>
  <si>
    <t>Device:D_Zener</t>
  </si>
  <si>
    <t>D3, D4, D5, D6, D7</t>
  </si>
  <si>
    <t>LED</t>
  </si>
  <si>
    <t>Not Fitted</t>
  </si>
  <si>
    <t>Device:LED</t>
  </si>
  <si>
    <t>D?-Red</t>
  </si>
  <si>
    <t>Red LED Option</t>
  </si>
  <si>
    <t>https://www.digikey.co.uk/en/products/detail/w%C3%BCrth-elektronik/150060SS75000/4489903</t>
  </si>
  <si>
    <t>-</t>
  </si>
  <si>
    <t>D?-Green</t>
  </si>
  <si>
    <t>Green LED Option</t>
  </si>
  <si>
    <t>https://www.digikey.co.uk/en/products/detail/w%C3%BCrth-elektronik/150060GS75000/4489898</t>
  </si>
  <si>
    <t>D?-Blue</t>
  </si>
  <si>
    <t>Blue LED Option</t>
  </si>
  <si>
    <t>https://www.digikey.co.uk/en/products/detail/w%C3%BCrth-elektronik/150060BS75000/4489895</t>
  </si>
  <si>
    <t>D8, D9</t>
  </si>
  <si>
    <t>1N4007</t>
  </si>
  <si>
    <t>https://www.digikey.co.uk/en/products/detail/smc-diode-solutions/1N4007FL/11657817</t>
  </si>
  <si>
    <t>Diode:1N4007</t>
  </si>
  <si>
    <t>Diode_THT:D_DO-41_SOD81_P10.16mm_Horizontal</t>
  </si>
  <si>
    <t>http://www.vishay.com/docs/88503/1n4001.pdf</t>
  </si>
  <si>
    <t>H1, H2, H3, H4</t>
  </si>
  <si>
    <t>MountingHole</t>
  </si>
  <si>
    <t>Mechanical:MountingHole</t>
  </si>
  <si>
    <t>J1</t>
  </si>
  <si>
    <t>Screw_Terminal_01x06</t>
  </si>
  <si>
    <t>https://www.digikey.co.uk/en/products/detail/cui-devices/TBP03R1-350-06BE/15775591</t>
  </si>
  <si>
    <t>Connector:Screw_Terminal_01x06</t>
  </si>
  <si>
    <t>J2</t>
  </si>
  <si>
    <t>Screw_Terminal_01x10</t>
  </si>
  <si>
    <t>https://www.digikey.co.uk/en/products/detail/cui-devices/TBP03R1-350-10BE/15775438</t>
  </si>
  <si>
    <t>Connector:Screw_Terminal_01x10</t>
  </si>
  <si>
    <t>J3</t>
  </si>
  <si>
    <t>Screw_Terminal_01x04</t>
  </si>
  <si>
    <t>https://www.digikey.co.uk/en/products/detail/cui-devices/TBP03R1-350-04BE/15775596</t>
  </si>
  <si>
    <t>Connector:Screw_Terminal_01x04</t>
  </si>
  <si>
    <t>K3, K4</t>
  </si>
  <si>
    <t>EC2-3NU</t>
  </si>
  <si>
    <t>https://www.digikey.co.uk/en/products/detail/kemet/EC2-3NU/4291108?s=N4IgTCBcDaIKIGEwFoDMA5AqiAugXyA</t>
  </si>
  <si>
    <t>Relay:EC2-3NU</t>
  </si>
  <si>
    <t>Relay_THT:Relay_DPDT_Kemet_EC2</t>
  </si>
  <si>
    <t>https://content.kemet.com/datasheets/KEM_R7002_EC2_EE2.pdf</t>
  </si>
  <si>
    <t>L1</t>
  </si>
  <si>
    <t>5.6uH</t>
  </si>
  <si>
    <t>https://www.digikey.co.uk/en/products/detail/traco-power/TCK-141/9382093</t>
  </si>
  <si>
    <t>Device:L</t>
  </si>
  <si>
    <t>https://docs.rs-online.com/1b0c/A700000008094192.pdf</t>
  </si>
  <si>
    <t>TCK-141</t>
  </si>
  <si>
    <t>Q1, Q2, Q3</t>
  </si>
  <si>
    <t>2N7000</t>
  </si>
  <si>
    <t>https://www.digikey.co.uk/en/products/detail/onsemi/2N7000/244278</t>
  </si>
  <si>
    <t>Transistor_FET:2N7000</t>
  </si>
  <si>
    <t>Package_TO_SOT_THT:TO-92_Inline</t>
  </si>
  <si>
    <t>https://www.vishay.com/docs/70226/70226.pdf</t>
  </si>
  <si>
    <t>R1, R3, R7</t>
  </si>
  <si>
    <t>10k</t>
  </si>
  <si>
    <t>https://www.digikey.co.uk/en/products/detail/yageo/AA0603FR-0710KL/5888698</t>
  </si>
  <si>
    <t>Device:R</t>
  </si>
  <si>
    <t>R2, R4</t>
  </si>
  <si>
    <t>3K9</t>
  </si>
  <si>
    <t>https://www.digikey.co.uk/en/products/detail/yageo/RC0603FR-133K9L/14008250</t>
  </si>
  <si>
    <t>R5, R6, R8, R9, R10</t>
  </si>
  <si>
    <t>220R</t>
  </si>
  <si>
    <t>https://www.digikey.co.uk/en/products/detail/yageo/RC0603FR-13220RL/14008234</t>
  </si>
  <si>
    <t>TP1</t>
  </si>
  <si>
    <t>TestPoint</t>
  </si>
  <si>
    <t>Connector:TestPoint</t>
  </si>
  <si>
    <t>U1</t>
  </si>
  <si>
    <t>WeMos_C3_mini</t>
  </si>
  <si>
    <t>https://www.aliexpress.com/item/1005004740051202.html?spm=a2g0o.detail.1000060.1.aeab2a59PFtrvi&amp;gps-id=pcDetailBottomMoreThisSeller&amp;scm=1007.13339.291025.0&amp;scm_id=1007.13339.291025.0&amp;scm-url=1007.13339.291025.0&amp;pvid=73215d09-fcbe-4742-8a33-ba5734cab02f&amp;_t=gps-id:pcDetailBottomMoreThisSeller,scm-url:1007.13339.291025.0,pvid:73215d09-fcbe-4742-8a33-ba5734cab02f,tpp_buckets:668%232846%238110%231995&amp;pdp_ext_f=%7B%22sku_id%22%3A%2212000030299765549%22%2C%22sceneId%22%3A%223339%22%7D&amp;pdp_npi=2%40dis%21GBP%213.67%213.67%21%21%21%21%21%40211b5dec16674009264382267e4d47%2112000030299765549%21rec</t>
  </si>
  <si>
    <t>Custom:WeMos_C3_mini</t>
  </si>
  <si>
    <t>Module:WEMOS_C3_mini</t>
  </si>
  <si>
    <t>https://www.wemos.cc/en/latest/c3/c3_mini.html</t>
  </si>
  <si>
    <t>U2</t>
  </si>
  <si>
    <t>TSR_1-2433</t>
  </si>
  <si>
    <t>https://www.digikey.co.uk/en/products/detail/traco-power/TSR-1-2433E/12171286</t>
  </si>
  <si>
    <t>Regulator_Switching:TSR_1-2433</t>
  </si>
  <si>
    <t>Converter_DCDC:Converter_DCDC_TRACO_TSR-1_THT</t>
  </si>
  <si>
    <t>http://www.tracopower.com/products/tsr1.pdf</t>
  </si>
  <si>
    <t>Sub Total</t>
  </si>
  <si>
    <t>Misc Parts</t>
  </si>
  <si>
    <t/>
  </si>
  <si>
    <t>Z1</t>
  </si>
  <si>
    <t>10-way Terminal Block Plug</t>
  </si>
  <si>
    <t>https://www.digikey.co.uk/en/products/detail/cui-devices/TBP03P3-350-10BE/15775410</t>
  </si>
  <si>
    <t>Z2</t>
  </si>
  <si>
    <t>6-way Terminal Block Plug</t>
  </si>
  <si>
    <t>https://www.digikey.co.uk/en/products/detail/cui-devices/TBP03P3-350-06BE/15775440</t>
  </si>
  <si>
    <t>Z3</t>
  </si>
  <si>
    <t>4-way Terminal Block Plug</t>
  </si>
  <si>
    <t>https://www.digikey.co.uk/en/products/detail/cui-devices/TBP03P3-350-04BE/15775446</t>
  </si>
  <si>
    <t>Digikey Total</t>
  </si>
  <si>
    <t>Grand Total</t>
  </si>
  <si>
    <t>S1</t>
  </si>
  <si>
    <t>0.96" OLED</t>
  </si>
  <si>
    <t>https://www.aliexpress.com/item/32957309383.html?spm=a2g0o.order_list.order_list_main.35.1b881802vM5YD2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</si>
</sst>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£]#,##0.00"/>
  </numFmts>
  <fonts count="13" x14ac:knownFonts="1">
    <font>
      <sz val="10"/>
      <color rgb="FF000000"/>
      <name val="Arial"/>
      <scheme val="minor"/>
    </font>
    <font>
      <i/>
      <sz val="11"/>
      <color rgb="FF000000"/>
      <name val="Calibri"/>
    </font>
    <font>
      <i/>
      <sz val="10"/>
      <color theme="1"/>
      <name val="Arial"/>
      <scheme val="minor"/>
    </font>
    <font>
      <sz val="11"/>
      <color rgb="FF000000"/>
      <name val="Calibri"/>
    </font>
    <font>
      <b/>
      <sz val="11"/>
      <color rgb="FF000000"/>
      <name val="Calibri"/>
    </font>
    <font>
      <u/>
      <sz val="11"/>
      <color rgb="FF000000"/>
      <name val="Calibri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u/>
      <sz val="10"/>
      <color rgb="FF1155CC"/>
      <name val="Arial"/>
    </font>
    <font>
      <u/>
      <sz val="10"/>
      <color theme="10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FF0000"/>
        <bgColor rgb="FFFF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6">
    <xf numFmtId="0" fontId="0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0" fontId="2" fillId="0" borderId="0" xfId="0" applyFont="1"/>
    <xf numFmtId="0" fontId="3" fillId="0" borderId="0" xfId="0" applyFont="1" applyAlignment="1"/>
    <xf numFmtId="164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4" fontId="3" fillId="0" borderId="0" xfId="0" applyNumberFormat="1" applyFont="1" applyAlignment="1"/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/>
    <xf numFmtId="0" fontId="7" fillId="2" borderId="0" xfId="0" applyFont="1" applyFill="1" applyAlignment="1"/>
    <xf numFmtId="164" fontId="8" fillId="2" borderId="0" xfId="0" applyNumberFormat="1" applyFont="1" applyFill="1"/>
    <xf numFmtId="0" fontId="9" fillId="0" borderId="0" xfId="0" applyFont="1" applyAlignment="1"/>
    <xf numFmtId="0" fontId="6" fillId="0" borderId="0" xfId="0" quotePrefix="1" applyFont="1" applyAlignment="1"/>
    <xf numFmtId="0" fontId="10" fillId="0" borderId="0" xfId="0" applyFont="1" applyAlignment="1"/>
    <xf numFmtId="164" fontId="10" fillId="0" borderId="0" xfId="0" applyNumberFormat="1" applyFont="1" applyAlignment="1">
      <alignment horizontal="right"/>
    </xf>
    <xf numFmtId="0" fontId="11" fillId="0" borderId="0" xfId="0" applyFont="1" applyAlignment="1"/>
    <xf numFmtId="0" fontId="7" fillId="3" borderId="0" xfId="0" applyFont="1" applyFill="1" applyAlignment="1"/>
    <xf numFmtId="164" fontId="7" fillId="3" borderId="0" xfId="0" applyNumberFormat="1" applyFont="1" applyFill="1" applyAlignment="1"/>
    <xf numFmtId="0" fontId="5" fillId="0" borderId="0" xfId="0" applyFont="1" applyAlignment="1"/>
    <xf numFmtId="0" fontId="0" fillId="0" borderId="0" xfId="0" applyFont="1" applyAlignment="1"/>
    <xf numFmtId="0" fontId="3" fillId="0" borderId="0" xfId="0" applyFont="1" applyAlignment="1"/>
    <xf numFmtId="0" fontId="12" fillId="0" borderId="0" xfId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.uk/en/products/detail/w%C3%BCrth-elektronik/150060BS75000/4489895" TargetMode="External"/><Relationship Id="rId13" Type="http://schemas.openxmlformats.org/officeDocument/2006/relationships/hyperlink" Target="https://www.digikey.co.uk/en/products/detail/cui-devices/TBP03R1-350-04BE/15775596" TargetMode="External"/><Relationship Id="rId18" Type="http://schemas.openxmlformats.org/officeDocument/2006/relationships/hyperlink" Target="https://www.digikey.co.uk/en/products/detail/onsemi/2N7000/244278" TargetMode="External"/><Relationship Id="rId26" Type="http://schemas.openxmlformats.org/officeDocument/2006/relationships/hyperlink" Target="http://www.tracopower.com/products/tsr1.pdf" TargetMode="External"/><Relationship Id="rId3" Type="http://schemas.openxmlformats.org/officeDocument/2006/relationships/hyperlink" Target="https://www.digikey.co.uk/en/products/detail/kemet/C0603C104K4RAC7081/6873865" TargetMode="External"/><Relationship Id="rId21" Type="http://schemas.openxmlformats.org/officeDocument/2006/relationships/hyperlink" Target="https://www.digikey.co.uk/en/products/detail/yageo/RC0603FR-133K9L/14008250" TargetMode="External"/><Relationship Id="rId7" Type="http://schemas.openxmlformats.org/officeDocument/2006/relationships/hyperlink" Target="https://www.digikey.co.uk/en/products/detail/w%C3%BCrth-elektronik/150060GS75000/4489898" TargetMode="External"/><Relationship Id="rId12" Type="http://schemas.openxmlformats.org/officeDocument/2006/relationships/hyperlink" Target="https://www.digikey.co.uk/en/products/detail/cui-devices/TBP03R1-350-10BE/15775438" TargetMode="External"/><Relationship Id="rId17" Type="http://schemas.openxmlformats.org/officeDocument/2006/relationships/hyperlink" Target="https://docs.rs-online.com/1b0c/A700000008094192.pdf" TargetMode="External"/><Relationship Id="rId25" Type="http://schemas.openxmlformats.org/officeDocument/2006/relationships/hyperlink" Target="https://www.digikey.co.uk/en/products/detail/traco-power/TSR-1-2433E/12171286" TargetMode="External"/><Relationship Id="rId2" Type="http://schemas.openxmlformats.org/officeDocument/2006/relationships/hyperlink" Target="https://www.digikey.co.uk/en/products/detail/kemet/C1210C106K5RAC7800/4918882" TargetMode="External"/><Relationship Id="rId16" Type="http://schemas.openxmlformats.org/officeDocument/2006/relationships/hyperlink" Target="https://www.digikey.co.uk/en/products/detail/traco-power/TCK-141/9382093" TargetMode="External"/><Relationship Id="rId20" Type="http://schemas.openxmlformats.org/officeDocument/2006/relationships/hyperlink" Target="https://www.digikey.co.uk/en/products/detail/yageo/AA0603FR-0710KL/5888698" TargetMode="External"/><Relationship Id="rId29" Type="http://schemas.openxmlformats.org/officeDocument/2006/relationships/hyperlink" Target="https://www.digikey.co.uk/en/products/detail/cui-devices/TBP03P3-350-04BE/15775446" TargetMode="External"/><Relationship Id="rId1" Type="http://schemas.openxmlformats.org/officeDocument/2006/relationships/hyperlink" Target="https://www.digikey.co.uk/en/products/detail/kemet/C0603C103M5RAC7411/12701322" TargetMode="External"/><Relationship Id="rId6" Type="http://schemas.openxmlformats.org/officeDocument/2006/relationships/hyperlink" Target="https://www.digikey.co.uk/en/products/detail/w%C3%BCrth-elektronik/150060SS75000/4489903" TargetMode="External"/><Relationship Id="rId11" Type="http://schemas.openxmlformats.org/officeDocument/2006/relationships/hyperlink" Target="https://www.digikey.co.uk/en/products/detail/cui-devices/TBP03R1-350-06BE/15775591" TargetMode="External"/><Relationship Id="rId24" Type="http://schemas.openxmlformats.org/officeDocument/2006/relationships/hyperlink" Target="https://www.wemos.cc/en/latest/c3/c3_mini.html" TargetMode="External"/><Relationship Id="rId5" Type="http://schemas.openxmlformats.org/officeDocument/2006/relationships/hyperlink" Target="https://www.digikey.co.uk/en/products/detail/diodes-incorporated/MMBZ5226B-7-F/717773" TargetMode="External"/><Relationship Id="rId15" Type="http://schemas.openxmlformats.org/officeDocument/2006/relationships/hyperlink" Target="https://content.kemet.com/datasheets/KEM_R7002_EC2_EE2.pdf" TargetMode="External"/><Relationship Id="rId23" Type="http://schemas.openxmlformats.org/officeDocument/2006/relationships/hyperlink" Target="https://www.aliexpress.com/item/1005004740051202.html?spm=a2g0o.detail.1000060.1.aeab2a59PFtrvi&amp;gps-id=pcDetailBottomMoreThisSeller&amp;scm=1007.13339.291025.0&amp;scm_id=1007.13339.291025.0&amp;scm-url=1007.13339.291025.0&amp;pvid=73215d09-fcbe-4742-8a33-ba5734cab02f&amp;_t=gps-id:pcDetailBottomMoreThisSeller,scm-url:1007.13339.291025.0,pvid:73215d09-fcbe-4742-8a33-ba5734cab02f,tpp_buckets:668%232846%238110%231995&amp;pdp_ext_f=%7B%22sku_id%22%3A%2212000030299765549%22%2C%22sceneId%22%3A%223339%22%7D&amp;pdp_npi=2%40dis%21GBP%213.67%213.67%21%21%21%21%21%40211b5dec16674009264382267e4d47%2112000030299765549%21rec" TargetMode="External"/><Relationship Id="rId28" Type="http://schemas.openxmlformats.org/officeDocument/2006/relationships/hyperlink" Target="https://www.digikey.co.uk/en/products/detail/cui-devices/TBP03P3-350-06BE/15775440" TargetMode="External"/><Relationship Id="rId10" Type="http://schemas.openxmlformats.org/officeDocument/2006/relationships/hyperlink" Target="http://www.vishay.com/docs/88503/1n4001.pdf" TargetMode="External"/><Relationship Id="rId19" Type="http://schemas.openxmlformats.org/officeDocument/2006/relationships/hyperlink" Target="https://www.vishay.com/docs/70226/70226.pdf" TargetMode="External"/><Relationship Id="rId4" Type="http://schemas.openxmlformats.org/officeDocument/2006/relationships/hyperlink" Target="https://www.digikey.co.uk/en/products/detail/kemet/C0603C105K8PAC7411/12701126" TargetMode="External"/><Relationship Id="rId9" Type="http://schemas.openxmlformats.org/officeDocument/2006/relationships/hyperlink" Target="https://www.digikey.co.uk/en/products/detail/smc-diode-solutions/1N4007FL/11657817" TargetMode="External"/><Relationship Id="rId14" Type="http://schemas.openxmlformats.org/officeDocument/2006/relationships/hyperlink" Target="https://www.digikey.co.uk/en/products/detail/kemet/EC2-3NU/4291108?s=N4IgTCBcDaIKIGEwFoDMA5AqiAugXyA" TargetMode="External"/><Relationship Id="rId22" Type="http://schemas.openxmlformats.org/officeDocument/2006/relationships/hyperlink" Target="https://www.digikey.co.uk/en/products/detail/yageo/RC0603FR-13220RL/14008234" TargetMode="External"/><Relationship Id="rId27" Type="http://schemas.openxmlformats.org/officeDocument/2006/relationships/hyperlink" Target="https://www.digikey.co.uk/en/products/detail/cui-devices/TBP03P3-350-10BE/15775410" TargetMode="External"/><Relationship Id="rId30" Type="http://schemas.openxmlformats.org/officeDocument/2006/relationships/hyperlink" Target="https://www.aliexpress.com/item/32957309383.html?spm=a2g0o.order_list.order_list_main.35.1b881802vM5YD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1008"/>
  <sheetViews>
    <sheetView tabSelected="1" workbookViewId="0">
      <pane ySplit="1" topLeftCell="A2" activePane="bottomLeft" state="frozen"/>
      <selection pane="bottomLeft" activeCell="I34" sqref="I34"/>
    </sheetView>
  </sheetViews>
  <sheetFormatPr defaultColWidth="12.5703125" defaultRowHeight="15.75" customHeight="1" x14ac:dyDescent="0.2"/>
  <cols>
    <col min="1" max="1" width="15" customWidth="1"/>
    <col min="2" max="2" width="21.42578125" customWidth="1"/>
    <col min="3" max="3" width="9.5703125" customWidth="1"/>
    <col min="4" max="4" width="11.28515625" customWidth="1"/>
    <col min="5" max="5" width="9.7109375" customWidth="1"/>
    <col min="6" max="7" width="10.42578125" customWidth="1"/>
    <col min="8" max="8" width="8" customWidth="1"/>
    <col min="9" max="9" width="21" customWidth="1"/>
  </cols>
  <sheetData>
    <row r="1" spans="1:32" ht="15.75" customHeight="1" x14ac:dyDescent="0.25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</row>
    <row r="2" spans="1:32" ht="15.75" customHeight="1" x14ac:dyDescent="0.25">
      <c r="A2" s="4"/>
      <c r="B2" s="4"/>
      <c r="C2" s="5"/>
      <c r="D2" s="6"/>
      <c r="E2" s="7"/>
      <c r="F2" s="4"/>
      <c r="G2" s="4"/>
      <c r="H2" s="4"/>
      <c r="I2" s="4"/>
      <c r="J2" s="4"/>
      <c r="K2" s="8"/>
      <c r="L2" s="4"/>
      <c r="M2" s="8"/>
    </row>
    <row r="3" spans="1:32" ht="15.75" customHeight="1" x14ac:dyDescent="0.25">
      <c r="A3" s="9" t="s">
        <v>13</v>
      </c>
      <c r="B3" s="4"/>
      <c r="C3" s="5"/>
      <c r="D3" s="6"/>
      <c r="E3" s="7"/>
      <c r="F3" s="4"/>
      <c r="G3" s="4"/>
      <c r="H3" s="4"/>
      <c r="I3" s="4"/>
      <c r="J3" s="4"/>
      <c r="K3" s="8"/>
      <c r="L3" s="4"/>
      <c r="M3" s="8"/>
    </row>
    <row r="4" spans="1:32" ht="15.75" customHeight="1" x14ac:dyDescent="0.25">
      <c r="A4" s="4" t="s">
        <v>14</v>
      </c>
      <c r="B4" s="4" t="s">
        <v>15</v>
      </c>
      <c r="C4" s="5">
        <v>2.8799999999999999E-2</v>
      </c>
      <c r="D4" s="6">
        <v>2</v>
      </c>
      <c r="E4" s="7">
        <f t="shared" ref="E4:E8" si="0">C4*D4</f>
        <v>5.7599999999999998E-2</v>
      </c>
      <c r="F4" s="6">
        <v>10</v>
      </c>
      <c r="G4" s="7">
        <f t="shared" ref="G4:G13" si="1">C4*F4</f>
        <v>0.28799999999999998</v>
      </c>
      <c r="H4" s="4" t="b">
        <v>1</v>
      </c>
      <c r="I4" s="10" t="s">
        <v>16</v>
      </c>
      <c r="J4" s="4" t="s">
        <v>17</v>
      </c>
      <c r="K4" s="8"/>
      <c r="L4" s="4" t="s">
        <v>18</v>
      </c>
      <c r="M4" s="8"/>
    </row>
    <row r="5" spans="1:32" ht="15.75" customHeight="1" x14ac:dyDescent="0.25">
      <c r="A5" s="4" t="s">
        <v>19</v>
      </c>
      <c r="B5" s="4" t="s">
        <v>20</v>
      </c>
      <c r="C5" s="5">
        <v>0.60960000000000003</v>
      </c>
      <c r="D5" s="6">
        <v>3</v>
      </c>
      <c r="E5" s="7">
        <f t="shared" si="0"/>
        <v>1.8288000000000002</v>
      </c>
      <c r="F5" s="6">
        <v>10</v>
      </c>
      <c r="G5" s="7">
        <f t="shared" si="1"/>
        <v>6.0960000000000001</v>
      </c>
      <c r="H5" s="4" t="b">
        <v>1</v>
      </c>
      <c r="I5" s="10" t="s">
        <v>21</v>
      </c>
      <c r="J5" s="4" t="s">
        <v>17</v>
      </c>
      <c r="K5" s="8"/>
      <c r="L5" s="4" t="s">
        <v>18</v>
      </c>
      <c r="M5" s="4" t="s">
        <v>22</v>
      </c>
    </row>
    <row r="6" spans="1:32" ht="15.75" customHeight="1" x14ac:dyDescent="0.25">
      <c r="A6" s="4" t="s">
        <v>23</v>
      </c>
      <c r="B6" s="4" t="s">
        <v>24</v>
      </c>
      <c r="C6" s="5">
        <v>7.5600000000000001E-2</v>
      </c>
      <c r="D6" s="6">
        <v>1</v>
      </c>
      <c r="E6" s="7">
        <f t="shared" si="0"/>
        <v>7.5600000000000001E-2</v>
      </c>
      <c r="F6" s="6">
        <v>10</v>
      </c>
      <c r="G6" s="7">
        <f t="shared" si="1"/>
        <v>0.75600000000000001</v>
      </c>
      <c r="H6" s="4" t="b">
        <v>1</v>
      </c>
      <c r="I6" s="10" t="s">
        <v>25</v>
      </c>
      <c r="J6" s="4" t="s">
        <v>17</v>
      </c>
      <c r="K6" s="8"/>
      <c r="L6" s="4" t="s">
        <v>18</v>
      </c>
      <c r="M6" s="8"/>
    </row>
    <row r="7" spans="1:32" ht="15.75" customHeight="1" x14ac:dyDescent="0.25">
      <c r="A7" s="4" t="s">
        <v>26</v>
      </c>
      <c r="B7" s="4" t="s">
        <v>27</v>
      </c>
      <c r="C7" s="5">
        <v>5.5199999999999999E-2</v>
      </c>
      <c r="D7" s="6">
        <v>1</v>
      </c>
      <c r="E7" s="7">
        <f t="shared" si="0"/>
        <v>5.5199999999999999E-2</v>
      </c>
      <c r="F7" s="6">
        <v>10</v>
      </c>
      <c r="G7" s="7">
        <f t="shared" si="1"/>
        <v>0.55200000000000005</v>
      </c>
      <c r="H7" s="4" t="b">
        <v>1</v>
      </c>
      <c r="I7" s="10" t="s">
        <v>28</v>
      </c>
      <c r="J7" s="4" t="s">
        <v>17</v>
      </c>
      <c r="K7" s="8"/>
      <c r="L7" s="4" t="s">
        <v>18</v>
      </c>
      <c r="M7" s="8"/>
    </row>
    <row r="8" spans="1:32" ht="15.75" customHeight="1" x14ac:dyDescent="0.25">
      <c r="A8" s="4" t="s">
        <v>29</v>
      </c>
      <c r="B8" s="4" t="s">
        <v>30</v>
      </c>
      <c r="C8" s="5">
        <v>0.15479999999999999</v>
      </c>
      <c r="D8" s="6">
        <v>2</v>
      </c>
      <c r="E8" s="7">
        <f t="shared" si="0"/>
        <v>0.30959999999999999</v>
      </c>
      <c r="F8" s="6">
        <v>10</v>
      </c>
      <c r="G8" s="7">
        <f t="shared" si="1"/>
        <v>1.548</v>
      </c>
      <c r="H8" s="4" t="b">
        <v>1</v>
      </c>
      <c r="I8" s="10" t="s">
        <v>31</v>
      </c>
      <c r="J8" s="24" t="s">
        <v>32</v>
      </c>
      <c r="K8" s="23"/>
      <c r="L8" s="4" t="s">
        <v>18</v>
      </c>
      <c r="M8" s="8"/>
    </row>
    <row r="9" spans="1:32" ht="15.75" customHeight="1" x14ac:dyDescent="0.25">
      <c r="A9" s="4" t="s">
        <v>33</v>
      </c>
      <c r="B9" s="4" t="s">
        <v>34</v>
      </c>
      <c r="D9" s="6">
        <v>5</v>
      </c>
      <c r="E9" s="7"/>
      <c r="F9" s="6">
        <f>D9*2</f>
        <v>10</v>
      </c>
      <c r="G9" s="7">
        <f t="shared" si="1"/>
        <v>0</v>
      </c>
      <c r="H9" s="11"/>
      <c r="I9" s="11" t="s">
        <v>35</v>
      </c>
      <c r="J9" s="24" t="s">
        <v>36</v>
      </c>
      <c r="K9" s="23"/>
      <c r="L9" s="4" t="s">
        <v>18</v>
      </c>
      <c r="M9" s="8"/>
    </row>
    <row r="10" spans="1:32" ht="15.75" customHeight="1" x14ac:dyDescent="0.25">
      <c r="A10" s="4" t="s">
        <v>37</v>
      </c>
      <c r="B10" s="4" t="s">
        <v>38</v>
      </c>
      <c r="C10" s="5">
        <v>0.156</v>
      </c>
      <c r="D10" s="6">
        <v>1</v>
      </c>
      <c r="E10" s="7">
        <f t="shared" ref="E10:E13" si="2">C10*D10</f>
        <v>0.156</v>
      </c>
      <c r="F10" s="6">
        <v>10</v>
      </c>
      <c r="G10" s="7">
        <f t="shared" si="1"/>
        <v>1.56</v>
      </c>
      <c r="H10" s="4" t="b">
        <v>1</v>
      </c>
      <c r="I10" s="10" t="s">
        <v>39</v>
      </c>
      <c r="J10" s="4" t="s">
        <v>40</v>
      </c>
      <c r="K10" s="4"/>
      <c r="L10" s="4"/>
      <c r="M10" s="4"/>
    </row>
    <row r="11" spans="1:32" ht="15.75" customHeight="1" x14ac:dyDescent="0.25">
      <c r="A11" s="4" t="s">
        <v>41</v>
      </c>
      <c r="B11" s="4" t="s">
        <v>42</v>
      </c>
      <c r="C11" s="5">
        <v>0.156</v>
      </c>
      <c r="D11" s="6">
        <v>3</v>
      </c>
      <c r="E11" s="7">
        <f t="shared" si="2"/>
        <v>0.46799999999999997</v>
      </c>
      <c r="F11" s="6">
        <v>10</v>
      </c>
      <c r="G11" s="7">
        <f t="shared" si="1"/>
        <v>1.56</v>
      </c>
      <c r="H11" s="4" t="b">
        <v>1</v>
      </c>
      <c r="I11" s="10" t="s">
        <v>43</v>
      </c>
      <c r="J11" s="4" t="s">
        <v>40</v>
      </c>
      <c r="K11" s="4"/>
      <c r="L11" s="4"/>
      <c r="M11" s="4"/>
    </row>
    <row r="12" spans="1:32" ht="15.75" customHeight="1" x14ac:dyDescent="0.25">
      <c r="A12" s="4" t="s">
        <v>44</v>
      </c>
      <c r="B12" s="4" t="s">
        <v>45</v>
      </c>
      <c r="C12" s="5">
        <v>0.18</v>
      </c>
      <c r="D12" s="6">
        <v>1</v>
      </c>
      <c r="E12" s="7">
        <f t="shared" si="2"/>
        <v>0.18</v>
      </c>
      <c r="F12" s="6">
        <v>10</v>
      </c>
      <c r="G12" s="7">
        <f t="shared" si="1"/>
        <v>1.7999999999999998</v>
      </c>
      <c r="H12" s="4" t="b">
        <v>1</v>
      </c>
      <c r="I12" s="10" t="s">
        <v>46</v>
      </c>
      <c r="J12" s="4" t="s">
        <v>40</v>
      </c>
      <c r="K12" s="4"/>
      <c r="L12" s="4"/>
      <c r="M12" s="4"/>
    </row>
    <row r="13" spans="1:32" ht="15.75" customHeight="1" x14ac:dyDescent="0.25">
      <c r="A13" s="4" t="s">
        <v>47</v>
      </c>
      <c r="B13" s="4" t="s">
        <v>48</v>
      </c>
      <c r="C13" s="5">
        <v>0.1368</v>
      </c>
      <c r="D13" s="6">
        <v>2</v>
      </c>
      <c r="E13" s="7">
        <f t="shared" si="2"/>
        <v>0.27360000000000001</v>
      </c>
      <c r="F13" s="6">
        <v>10</v>
      </c>
      <c r="G13" s="7">
        <f t="shared" si="1"/>
        <v>1.3680000000000001</v>
      </c>
      <c r="H13" s="4" t="b">
        <v>1</v>
      </c>
      <c r="I13" s="10" t="s">
        <v>49</v>
      </c>
      <c r="J13" s="4" t="s">
        <v>50</v>
      </c>
      <c r="K13" s="4" t="s">
        <v>51</v>
      </c>
      <c r="L13" s="22" t="s">
        <v>52</v>
      </c>
      <c r="M13" s="23"/>
    </row>
    <row r="14" spans="1:32" ht="15.75" customHeight="1" x14ac:dyDescent="0.25">
      <c r="A14" s="4" t="s">
        <v>53</v>
      </c>
      <c r="B14" s="4" t="s">
        <v>54</v>
      </c>
      <c r="C14" s="5"/>
      <c r="D14" s="6">
        <v>4</v>
      </c>
      <c r="E14" s="7"/>
      <c r="F14" s="6"/>
      <c r="G14" s="7"/>
      <c r="H14" s="4"/>
      <c r="I14" s="4" t="s">
        <v>40</v>
      </c>
      <c r="J14" s="24" t="s">
        <v>55</v>
      </c>
      <c r="K14" s="23"/>
      <c r="L14" s="4" t="s">
        <v>18</v>
      </c>
      <c r="M14" s="8"/>
    </row>
    <row r="15" spans="1:32" ht="15.75" customHeight="1" x14ac:dyDescent="0.25">
      <c r="A15" s="4" t="s">
        <v>56</v>
      </c>
      <c r="B15" s="4" t="s">
        <v>57</v>
      </c>
      <c r="C15" s="5">
        <v>1.1759999999999999</v>
      </c>
      <c r="D15" s="6">
        <v>1</v>
      </c>
      <c r="E15" s="7">
        <f t="shared" ref="E15:E23" si="3">C15*D15</f>
        <v>1.1759999999999999</v>
      </c>
      <c r="F15" s="6">
        <f t="shared" ref="F15:F19" si="4">D15*2</f>
        <v>2</v>
      </c>
      <c r="G15" s="7">
        <f t="shared" ref="G15:G23" si="5">C15*F15</f>
        <v>2.3519999999999999</v>
      </c>
      <c r="H15" s="4" t="b">
        <v>1</v>
      </c>
      <c r="I15" s="10" t="s">
        <v>58</v>
      </c>
      <c r="J15" s="24" t="s">
        <v>59</v>
      </c>
      <c r="K15" s="23"/>
      <c r="L15" s="4" t="s">
        <v>18</v>
      </c>
      <c r="M15" s="8"/>
    </row>
    <row r="16" spans="1:32" ht="15.75" customHeight="1" x14ac:dyDescent="0.25">
      <c r="A16" s="4" t="s">
        <v>60</v>
      </c>
      <c r="B16" s="4" t="s">
        <v>61</v>
      </c>
      <c r="C16" s="5">
        <v>1.488</v>
      </c>
      <c r="D16" s="6">
        <v>1</v>
      </c>
      <c r="E16" s="7">
        <f t="shared" si="3"/>
        <v>1.488</v>
      </c>
      <c r="F16" s="6">
        <f t="shared" si="4"/>
        <v>2</v>
      </c>
      <c r="G16" s="7">
        <f t="shared" si="5"/>
        <v>2.976</v>
      </c>
      <c r="H16" s="4" t="b">
        <v>1</v>
      </c>
      <c r="I16" s="10" t="s">
        <v>62</v>
      </c>
      <c r="J16" s="24" t="s">
        <v>63</v>
      </c>
      <c r="K16" s="23"/>
      <c r="L16" s="4" t="s">
        <v>18</v>
      </c>
      <c r="M16" s="8"/>
    </row>
    <row r="17" spans="1:13" ht="15.75" customHeight="1" x14ac:dyDescent="0.25">
      <c r="A17" s="4" t="s">
        <v>64</v>
      </c>
      <c r="B17" s="4" t="s">
        <v>65</v>
      </c>
      <c r="C17" s="5">
        <v>0.78</v>
      </c>
      <c r="D17" s="6">
        <v>1</v>
      </c>
      <c r="E17" s="7">
        <f t="shared" si="3"/>
        <v>0.78</v>
      </c>
      <c r="F17" s="6">
        <f t="shared" si="4"/>
        <v>2</v>
      </c>
      <c r="G17" s="7">
        <f t="shared" si="5"/>
        <v>1.56</v>
      </c>
      <c r="H17" s="4" t="b">
        <v>1</v>
      </c>
      <c r="I17" s="10" t="s">
        <v>66</v>
      </c>
      <c r="J17" s="24" t="s">
        <v>67</v>
      </c>
      <c r="K17" s="23"/>
      <c r="L17" s="4" t="s">
        <v>18</v>
      </c>
      <c r="M17" s="8"/>
    </row>
    <row r="18" spans="1:13" ht="15.75" customHeight="1" x14ac:dyDescent="0.25">
      <c r="A18" s="4" t="s">
        <v>68</v>
      </c>
      <c r="B18" s="4" t="s">
        <v>69</v>
      </c>
      <c r="C18" s="5">
        <v>2.2559999999999998</v>
      </c>
      <c r="D18" s="6">
        <v>2</v>
      </c>
      <c r="E18" s="7">
        <f t="shared" si="3"/>
        <v>4.5119999999999996</v>
      </c>
      <c r="F18" s="6">
        <f t="shared" si="4"/>
        <v>4</v>
      </c>
      <c r="G18" s="7">
        <f t="shared" si="5"/>
        <v>9.0239999999999991</v>
      </c>
      <c r="H18" s="4" t="b">
        <v>1</v>
      </c>
      <c r="I18" s="10" t="s">
        <v>70</v>
      </c>
      <c r="J18" s="4" t="s">
        <v>71</v>
      </c>
      <c r="K18" s="4" t="s">
        <v>72</v>
      </c>
      <c r="L18" s="22" t="s">
        <v>73</v>
      </c>
      <c r="M18" s="23"/>
    </row>
    <row r="19" spans="1:13" ht="15.75" customHeight="1" x14ac:dyDescent="0.25">
      <c r="A19" s="4" t="s">
        <v>74</v>
      </c>
      <c r="B19" s="4" t="s">
        <v>75</v>
      </c>
      <c r="C19" s="5">
        <v>6.57</v>
      </c>
      <c r="D19" s="6">
        <v>1</v>
      </c>
      <c r="E19" s="7">
        <f t="shared" si="3"/>
        <v>6.57</v>
      </c>
      <c r="F19" s="6">
        <f t="shared" si="4"/>
        <v>2</v>
      </c>
      <c r="G19" s="7">
        <f t="shared" si="5"/>
        <v>13.14</v>
      </c>
      <c r="H19" s="4" t="b">
        <v>1</v>
      </c>
      <c r="I19" s="10" t="s">
        <v>76</v>
      </c>
      <c r="J19" s="4" t="s">
        <v>77</v>
      </c>
      <c r="K19" s="8"/>
      <c r="L19" s="10" t="s">
        <v>78</v>
      </c>
      <c r="M19" s="4" t="s">
        <v>79</v>
      </c>
    </row>
    <row r="20" spans="1:13" ht="15.75" customHeight="1" x14ac:dyDescent="0.25">
      <c r="A20" s="4" t="s">
        <v>80</v>
      </c>
      <c r="B20" s="4" t="s">
        <v>81</v>
      </c>
      <c r="C20" s="5">
        <v>0.3876</v>
      </c>
      <c r="D20" s="6">
        <v>3</v>
      </c>
      <c r="E20" s="7">
        <f t="shared" si="3"/>
        <v>1.1628000000000001</v>
      </c>
      <c r="F20" s="6">
        <v>10</v>
      </c>
      <c r="G20" s="7">
        <f t="shared" si="5"/>
        <v>3.8759999999999999</v>
      </c>
      <c r="H20" s="4" t="b">
        <v>1</v>
      </c>
      <c r="I20" s="10" t="s">
        <v>82</v>
      </c>
      <c r="J20" s="4" t="s">
        <v>83</v>
      </c>
      <c r="K20" s="4" t="s">
        <v>84</v>
      </c>
      <c r="L20" s="22" t="s">
        <v>85</v>
      </c>
      <c r="M20" s="23"/>
    </row>
    <row r="21" spans="1:13" ht="15.75" customHeight="1" x14ac:dyDescent="0.25">
      <c r="A21" s="4" t="s">
        <v>86</v>
      </c>
      <c r="B21" s="4" t="s">
        <v>87</v>
      </c>
      <c r="C21" s="5">
        <v>9.2399999999999996E-2</v>
      </c>
      <c r="D21" s="6">
        <v>3</v>
      </c>
      <c r="E21" s="7">
        <f t="shared" si="3"/>
        <v>0.2772</v>
      </c>
      <c r="F21" s="6">
        <v>10</v>
      </c>
      <c r="G21" s="7">
        <f t="shared" si="5"/>
        <v>0.92399999999999993</v>
      </c>
      <c r="H21" s="4" t="b">
        <v>1</v>
      </c>
      <c r="I21" s="10" t="s">
        <v>88</v>
      </c>
      <c r="J21" s="4" t="s">
        <v>89</v>
      </c>
      <c r="K21" s="8"/>
      <c r="L21" s="4" t="s">
        <v>18</v>
      </c>
      <c r="M21" s="8"/>
    </row>
    <row r="22" spans="1:13" ht="15.75" customHeight="1" x14ac:dyDescent="0.25">
      <c r="A22" s="4" t="s">
        <v>90</v>
      </c>
      <c r="B22" s="4" t="s">
        <v>91</v>
      </c>
      <c r="C22" s="5">
        <v>2.1600000000000001E-2</v>
      </c>
      <c r="D22" s="6">
        <v>2</v>
      </c>
      <c r="E22" s="7">
        <f t="shared" si="3"/>
        <v>4.3200000000000002E-2</v>
      </c>
      <c r="F22" s="6">
        <v>10</v>
      </c>
      <c r="G22" s="7">
        <f t="shared" si="5"/>
        <v>0.21600000000000003</v>
      </c>
      <c r="H22" s="4" t="b">
        <v>1</v>
      </c>
      <c r="I22" s="10" t="s">
        <v>92</v>
      </c>
      <c r="J22" s="4" t="s">
        <v>89</v>
      </c>
      <c r="K22" s="8"/>
      <c r="L22" s="4" t="s">
        <v>18</v>
      </c>
      <c r="M22" s="8"/>
    </row>
    <row r="23" spans="1:13" ht="15.75" customHeight="1" x14ac:dyDescent="0.25">
      <c r="A23" s="4" t="s">
        <v>93</v>
      </c>
      <c r="B23" s="4" t="s">
        <v>94</v>
      </c>
      <c r="C23" s="5">
        <v>2.1600000000000001E-2</v>
      </c>
      <c r="D23" s="6">
        <v>5</v>
      </c>
      <c r="E23" s="7">
        <f t="shared" si="3"/>
        <v>0.10800000000000001</v>
      </c>
      <c r="F23" s="6">
        <v>20</v>
      </c>
      <c r="G23" s="7">
        <f t="shared" si="5"/>
        <v>0.43200000000000005</v>
      </c>
      <c r="H23" s="4" t="b">
        <v>1</v>
      </c>
      <c r="I23" s="10" t="s">
        <v>95</v>
      </c>
      <c r="J23" s="4" t="s">
        <v>89</v>
      </c>
      <c r="K23" s="8"/>
      <c r="L23" s="4" t="s">
        <v>18</v>
      </c>
      <c r="M23" s="8"/>
    </row>
    <row r="24" spans="1:13" ht="15.75" customHeight="1" x14ac:dyDescent="0.25">
      <c r="A24" s="4" t="s">
        <v>96</v>
      </c>
      <c r="B24" s="4" t="s">
        <v>97</v>
      </c>
      <c r="C24" s="5"/>
      <c r="D24" s="6">
        <v>1</v>
      </c>
      <c r="E24" s="7"/>
      <c r="F24" s="6"/>
      <c r="G24" s="7"/>
      <c r="H24" s="4"/>
      <c r="I24" s="4" t="s">
        <v>40</v>
      </c>
      <c r="J24" s="24" t="s">
        <v>98</v>
      </c>
      <c r="K24" s="23"/>
      <c r="L24" s="4" t="s">
        <v>18</v>
      </c>
      <c r="M24" s="8"/>
    </row>
    <row r="25" spans="1:13" ht="15.75" customHeight="1" x14ac:dyDescent="0.25">
      <c r="A25" s="4" t="s">
        <v>99</v>
      </c>
      <c r="B25" s="4" t="s">
        <v>100</v>
      </c>
      <c r="C25" s="5">
        <v>3.67</v>
      </c>
      <c r="D25" s="6">
        <v>1</v>
      </c>
      <c r="E25" s="7">
        <f t="shared" ref="E25:E26" si="6">C25*D25</f>
        <v>3.67</v>
      </c>
      <c r="F25" s="6">
        <v>4</v>
      </c>
      <c r="G25" s="7">
        <f t="shared" ref="G25:G26" si="7">C25*F25</f>
        <v>14.68</v>
      </c>
      <c r="H25" s="4" t="b">
        <v>1</v>
      </c>
      <c r="I25" s="10" t="s">
        <v>101</v>
      </c>
      <c r="J25" s="4" t="s">
        <v>102</v>
      </c>
      <c r="K25" s="4" t="s">
        <v>103</v>
      </c>
      <c r="L25" s="22" t="s">
        <v>104</v>
      </c>
      <c r="M25" s="23"/>
    </row>
    <row r="26" spans="1:13" ht="15.75" customHeight="1" x14ac:dyDescent="0.25">
      <c r="A26" s="4" t="s">
        <v>105</v>
      </c>
      <c r="B26" s="4" t="s">
        <v>106</v>
      </c>
      <c r="C26" s="5">
        <v>4.3680000000000003</v>
      </c>
      <c r="D26" s="6">
        <v>1</v>
      </c>
      <c r="E26" s="7">
        <f t="shared" si="6"/>
        <v>4.3680000000000003</v>
      </c>
      <c r="F26" s="6">
        <f>D26*2</f>
        <v>2</v>
      </c>
      <c r="G26" s="7">
        <f t="shared" si="7"/>
        <v>8.7360000000000007</v>
      </c>
      <c r="H26" s="4" t="b">
        <v>1</v>
      </c>
      <c r="I26" s="10" t="s">
        <v>107</v>
      </c>
      <c r="J26" s="4" t="s">
        <v>108</v>
      </c>
      <c r="K26" s="4" t="s">
        <v>109</v>
      </c>
      <c r="L26" s="22" t="s">
        <v>110</v>
      </c>
      <c r="M26" s="23"/>
    </row>
    <row r="27" spans="1:13" x14ac:dyDescent="0.2">
      <c r="C27" s="12"/>
      <c r="E27" s="12"/>
      <c r="G27" s="12"/>
    </row>
    <row r="28" spans="1:13" x14ac:dyDescent="0.2">
      <c r="C28" s="12"/>
      <c r="D28" s="13" t="s">
        <v>111</v>
      </c>
      <c r="E28" s="14">
        <f>SUM(E4:E26)</f>
        <v>27.559600000000003</v>
      </c>
      <c r="F28" s="13" t="s">
        <v>111</v>
      </c>
      <c r="G28" s="14">
        <f>SUM(G4:G26)</f>
        <v>73.444000000000003</v>
      </c>
    </row>
    <row r="29" spans="1:13" x14ac:dyDescent="0.2">
      <c r="C29" s="12"/>
      <c r="E29" s="12"/>
      <c r="G29" s="12"/>
    </row>
    <row r="30" spans="1:13" x14ac:dyDescent="0.2">
      <c r="A30" s="15" t="s">
        <v>112</v>
      </c>
      <c r="C30" s="12"/>
      <c r="E30" s="12"/>
      <c r="G30" s="12"/>
      <c r="J30" s="16" t="s">
        <v>113</v>
      </c>
    </row>
    <row r="31" spans="1:13" ht="15.75" customHeight="1" x14ac:dyDescent="0.25">
      <c r="A31" s="11" t="s">
        <v>114</v>
      </c>
      <c r="B31" s="17" t="s">
        <v>115</v>
      </c>
      <c r="C31" s="18">
        <v>2.8079999999999998</v>
      </c>
      <c r="D31" s="11">
        <v>1</v>
      </c>
      <c r="E31" s="12">
        <f t="shared" ref="E31:E34" si="8">C31*D31</f>
        <v>2.8079999999999998</v>
      </c>
      <c r="F31" s="11">
        <v>1</v>
      </c>
      <c r="G31" s="12">
        <f t="shared" ref="G31:G34" si="9">E31*F31</f>
        <v>2.8079999999999998</v>
      </c>
      <c r="H31" s="4" t="b">
        <v>1</v>
      </c>
      <c r="I31" s="19" t="s">
        <v>116</v>
      </c>
      <c r="J31" s="11" t="s">
        <v>40</v>
      </c>
    </row>
    <row r="32" spans="1:13" ht="15.75" customHeight="1" x14ac:dyDescent="0.25">
      <c r="A32" s="11" t="s">
        <v>117</v>
      </c>
      <c r="B32" s="17" t="s">
        <v>118</v>
      </c>
      <c r="C32" s="18">
        <v>1.968</v>
      </c>
      <c r="D32" s="11">
        <v>1</v>
      </c>
      <c r="E32" s="12">
        <f t="shared" si="8"/>
        <v>1.968</v>
      </c>
      <c r="F32" s="11">
        <v>1</v>
      </c>
      <c r="G32" s="12">
        <f t="shared" si="9"/>
        <v>1.968</v>
      </c>
      <c r="H32" s="4" t="b">
        <v>1</v>
      </c>
      <c r="I32" s="19" t="s">
        <v>119</v>
      </c>
      <c r="J32" s="11" t="s">
        <v>40</v>
      </c>
    </row>
    <row r="33" spans="1:10" ht="15.75" customHeight="1" x14ac:dyDescent="0.25">
      <c r="A33" s="11" t="s">
        <v>120</v>
      </c>
      <c r="B33" s="17" t="s">
        <v>121</v>
      </c>
      <c r="C33" s="18">
        <v>1.3080000000000001</v>
      </c>
      <c r="D33" s="11">
        <v>1</v>
      </c>
      <c r="E33" s="12">
        <f t="shared" si="8"/>
        <v>1.3080000000000001</v>
      </c>
      <c r="F33" s="11">
        <v>1</v>
      </c>
      <c r="G33" s="12">
        <f t="shared" si="9"/>
        <v>1.3080000000000001</v>
      </c>
      <c r="H33" s="4" t="b">
        <v>1</v>
      </c>
      <c r="I33" s="19" t="s">
        <v>122</v>
      </c>
      <c r="J33" s="11" t="s">
        <v>40</v>
      </c>
    </row>
    <row r="34" spans="1:10" ht="15.75" customHeight="1" x14ac:dyDescent="0.25">
      <c r="A34" s="11" t="s">
        <v>125</v>
      </c>
      <c r="B34" s="17" t="s">
        <v>126</v>
      </c>
      <c r="C34" s="18">
        <v>1.0900000000000001</v>
      </c>
      <c r="D34" s="11">
        <v>1</v>
      </c>
      <c r="E34" s="12">
        <f t="shared" si="8"/>
        <v>1.0900000000000001</v>
      </c>
      <c r="F34" s="11">
        <v>1</v>
      </c>
      <c r="G34" s="12">
        <f t="shared" si="9"/>
        <v>1.0900000000000001</v>
      </c>
      <c r="H34" s="8"/>
      <c r="I34" s="25" t="s">
        <v>127</v>
      </c>
      <c r="J34" s="11"/>
    </row>
    <row r="35" spans="1:10" ht="12.75" x14ac:dyDescent="0.2">
      <c r="C35" s="12"/>
      <c r="E35" s="12"/>
      <c r="G35" s="12"/>
    </row>
    <row r="36" spans="1:10" x14ac:dyDescent="0.2">
      <c r="C36" s="12"/>
      <c r="D36" s="13" t="s">
        <v>111</v>
      </c>
      <c r="E36" s="14">
        <f>SUM(E31:E33)</f>
        <v>6.0839999999999996</v>
      </c>
      <c r="F36" s="13" t="s">
        <v>111</v>
      </c>
      <c r="G36" s="14">
        <f>SUM(G31:G33)</f>
        <v>6.0839999999999996</v>
      </c>
    </row>
    <row r="37" spans="1:10" x14ac:dyDescent="0.2">
      <c r="C37" s="12"/>
      <c r="E37" s="12"/>
      <c r="G37" s="12"/>
    </row>
    <row r="38" spans="1:10" x14ac:dyDescent="0.2">
      <c r="C38" s="12"/>
      <c r="E38" s="12"/>
      <c r="F38" s="11" t="s">
        <v>123</v>
      </c>
      <c r="G38" s="12">
        <f>SUM(G4:G23,G26,G31:G33)</f>
        <v>64.847999999999999</v>
      </c>
    </row>
    <row r="39" spans="1:10" x14ac:dyDescent="0.2">
      <c r="C39" s="12"/>
      <c r="E39" s="12"/>
      <c r="G39" s="12"/>
    </row>
    <row r="40" spans="1:10" x14ac:dyDescent="0.2">
      <c r="C40" s="12"/>
      <c r="D40" s="20" t="s">
        <v>124</v>
      </c>
      <c r="E40" s="21">
        <f>SUM(E28,E36)</f>
        <v>33.643600000000006</v>
      </c>
      <c r="F40" s="20" t="s">
        <v>124</v>
      </c>
      <c r="G40" s="21">
        <f>SUM(G28,G36)</f>
        <v>79.528000000000006</v>
      </c>
    </row>
    <row r="41" spans="1:10" x14ac:dyDescent="0.2">
      <c r="C41" s="12"/>
      <c r="E41" s="12"/>
    </row>
    <row r="42" spans="1:10" x14ac:dyDescent="0.2">
      <c r="C42" s="12"/>
      <c r="E42" s="12"/>
    </row>
    <row r="43" spans="1:10" x14ac:dyDescent="0.2">
      <c r="C43" s="12"/>
      <c r="E43" s="12"/>
    </row>
    <row r="44" spans="1:10" x14ac:dyDescent="0.2">
      <c r="C44" s="12"/>
      <c r="E44" s="12"/>
    </row>
    <row r="45" spans="1:10" x14ac:dyDescent="0.2">
      <c r="C45" s="12"/>
      <c r="E45" s="12"/>
    </row>
    <row r="46" spans="1:10" x14ac:dyDescent="0.2">
      <c r="C46" s="12"/>
      <c r="E46" s="12"/>
    </row>
    <row r="47" spans="1:10" x14ac:dyDescent="0.2">
      <c r="C47" s="12"/>
      <c r="E47" s="12"/>
    </row>
    <row r="48" spans="1:10" x14ac:dyDescent="0.2">
      <c r="C48" s="12"/>
      <c r="E48" s="12"/>
    </row>
    <row r="49" spans="3:5" x14ac:dyDescent="0.2">
      <c r="C49" s="12"/>
      <c r="E49" s="12"/>
    </row>
    <row r="50" spans="3:5" x14ac:dyDescent="0.2">
      <c r="C50" s="12"/>
      <c r="E50" s="12"/>
    </row>
    <row r="51" spans="3:5" x14ac:dyDescent="0.2">
      <c r="C51" s="12"/>
      <c r="E51" s="12"/>
    </row>
    <row r="52" spans="3:5" x14ac:dyDescent="0.2">
      <c r="C52" s="12"/>
      <c r="E52" s="12"/>
    </row>
    <row r="53" spans="3:5" x14ac:dyDescent="0.2">
      <c r="C53" s="12"/>
      <c r="E53" s="12"/>
    </row>
    <row r="54" spans="3:5" x14ac:dyDescent="0.2">
      <c r="C54" s="12"/>
      <c r="E54" s="12"/>
    </row>
    <row r="55" spans="3:5" x14ac:dyDescent="0.2">
      <c r="C55" s="12"/>
      <c r="E55" s="12"/>
    </row>
    <row r="56" spans="3:5" x14ac:dyDescent="0.2">
      <c r="C56" s="12"/>
      <c r="E56" s="12"/>
    </row>
    <row r="57" spans="3:5" ht="12.75" x14ac:dyDescent="0.2">
      <c r="C57" s="12"/>
      <c r="E57" s="12"/>
    </row>
    <row r="58" spans="3:5" ht="12.75" x14ac:dyDescent="0.2">
      <c r="C58" s="12"/>
      <c r="E58" s="12"/>
    </row>
    <row r="59" spans="3:5" ht="12.75" x14ac:dyDescent="0.2">
      <c r="C59" s="12"/>
      <c r="E59" s="12"/>
    </row>
    <row r="60" spans="3:5" ht="12.75" x14ac:dyDescent="0.2">
      <c r="C60" s="12"/>
      <c r="E60" s="12"/>
    </row>
    <row r="61" spans="3:5" ht="12.75" x14ac:dyDescent="0.2">
      <c r="C61" s="12"/>
      <c r="E61" s="12"/>
    </row>
    <row r="62" spans="3:5" ht="12.75" x14ac:dyDescent="0.2">
      <c r="C62" s="12"/>
      <c r="E62" s="12"/>
    </row>
    <row r="63" spans="3:5" ht="12.75" x14ac:dyDescent="0.2">
      <c r="C63" s="12"/>
      <c r="E63" s="12"/>
    </row>
    <row r="64" spans="3:5" ht="12.75" x14ac:dyDescent="0.2">
      <c r="C64" s="12"/>
      <c r="E64" s="12"/>
    </row>
    <row r="65" spans="3:5" ht="12.75" x14ac:dyDescent="0.2">
      <c r="C65" s="12"/>
      <c r="E65" s="12"/>
    </row>
    <row r="66" spans="3:5" ht="12.75" x14ac:dyDescent="0.2">
      <c r="C66" s="12"/>
      <c r="E66" s="12"/>
    </row>
    <row r="67" spans="3:5" ht="12.75" x14ac:dyDescent="0.2">
      <c r="C67" s="12"/>
      <c r="E67" s="12"/>
    </row>
    <row r="68" spans="3:5" ht="12.75" x14ac:dyDescent="0.2">
      <c r="C68" s="12"/>
      <c r="E68" s="12"/>
    </row>
    <row r="69" spans="3:5" ht="12.75" x14ac:dyDescent="0.2">
      <c r="C69" s="12"/>
      <c r="E69" s="12"/>
    </row>
    <row r="70" spans="3:5" ht="12.75" x14ac:dyDescent="0.2">
      <c r="C70" s="12"/>
      <c r="E70" s="12"/>
    </row>
    <row r="71" spans="3:5" ht="12.75" x14ac:dyDescent="0.2">
      <c r="C71" s="12"/>
      <c r="E71" s="12"/>
    </row>
    <row r="72" spans="3:5" ht="12.75" x14ac:dyDescent="0.2">
      <c r="C72" s="12"/>
      <c r="E72" s="12"/>
    </row>
    <row r="73" spans="3:5" ht="12.75" x14ac:dyDescent="0.2">
      <c r="C73" s="12"/>
      <c r="E73" s="12"/>
    </row>
    <row r="74" spans="3:5" ht="12.75" x14ac:dyDescent="0.2">
      <c r="C74" s="12"/>
      <c r="E74" s="12"/>
    </row>
    <row r="75" spans="3:5" ht="12.75" x14ac:dyDescent="0.2">
      <c r="C75" s="12"/>
      <c r="E75" s="12"/>
    </row>
    <row r="76" spans="3:5" ht="12.75" x14ac:dyDescent="0.2">
      <c r="C76" s="12"/>
      <c r="E76" s="12"/>
    </row>
    <row r="77" spans="3:5" ht="12.75" x14ac:dyDescent="0.2">
      <c r="C77" s="12"/>
      <c r="E77" s="12"/>
    </row>
    <row r="78" spans="3:5" ht="12.75" x14ac:dyDescent="0.2">
      <c r="C78" s="12"/>
      <c r="E78" s="12"/>
    </row>
    <row r="79" spans="3:5" ht="12.75" x14ac:dyDescent="0.2">
      <c r="C79" s="12"/>
      <c r="E79" s="12"/>
    </row>
    <row r="80" spans="3:5" ht="12.75" x14ac:dyDescent="0.2">
      <c r="C80" s="12"/>
      <c r="E80" s="12"/>
    </row>
    <row r="81" spans="3:5" ht="12.75" x14ac:dyDescent="0.2">
      <c r="C81" s="12"/>
      <c r="E81" s="12"/>
    </row>
    <row r="82" spans="3:5" ht="12.75" x14ac:dyDescent="0.2">
      <c r="C82" s="12"/>
      <c r="E82" s="12"/>
    </row>
    <row r="83" spans="3:5" ht="12.75" x14ac:dyDescent="0.2">
      <c r="C83" s="12"/>
      <c r="E83" s="12"/>
    </row>
    <row r="84" spans="3:5" ht="12.75" x14ac:dyDescent="0.2">
      <c r="C84" s="12"/>
      <c r="E84" s="12"/>
    </row>
    <row r="85" spans="3:5" ht="12.75" x14ac:dyDescent="0.2">
      <c r="C85" s="12"/>
      <c r="E85" s="12"/>
    </row>
    <row r="86" spans="3:5" ht="12.75" x14ac:dyDescent="0.2">
      <c r="C86" s="12"/>
      <c r="E86" s="12"/>
    </row>
    <row r="87" spans="3:5" ht="12.75" x14ac:dyDescent="0.2">
      <c r="C87" s="12"/>
      <c r="E87" s="12"/>
    </row>
    <row r="88" spans="3:5" ht="12.75" x14ac:dyDescent="0.2">
      <c r="C88" s="12"/>
      <c r="E88" s="12"/>
    </row>
    <row r="89" spans="3:5" ht="12.75" x14ac:dyDescent="0.2">
      <c r="C89" s="12"/>
      <c r="E89" s="12"/>
    </row>
    <row r="90" spans="3:5" ht="12.75" x14ac:dyDescent="0.2">
      <c r="C90" s="12"/>
      <c r="E90" s="12"/>
    </row>
    <row r="91" spans="3:5" ht="12.75" x14ac:dyDescent="0.2">
      <c r="C91" s="12"/>
      <c r="E91" s="12"/>
    </row>
    <row r="92" spans="3:5" ht="12.75" x14ac:dyDescent="0.2">
      <c r="C92" s="12"/>
      <c r="E92" s="12"/>
    </row>
    <row r="93" spans="3:5" ht="12.75" x14ac:dyDescent="0.2">
      <c r="C93" s="12"/>
      <c r="E93" s="12"/>
    </row>
    <row r="94" spans="3:5" ht="12.75" x14ac:dyDescent="0.2">
      <c r="C94" s="12"/>
      <c r="E94" s="12"/>
    </row>
    <row r="95" spans="3:5" ht="12.75" x14ac:dyDescent="0.2">
      <c r="C95" s="12"/>
      <c r="E95" s="12"/>
    </row>
    <row r="96" spans="3:5" ht="12.75" x14ac:dyDescent="0.2">
      <c r="C96" s="12"/>
      <c r="E96" s="12"/>
    </row>
    <row r="97" spans="3:5" ht="12.75" x14ac:dyDescent="0.2">
      <c r="C97" s="12"/>
      <c r="E97" s="12"/>
    </row>
    <row r="98" spans="3:5" ht="12.75" x14ac:dyDescent="0.2">
      <c r="C98" s="12"/>
      <c r="E98" s="12"/>
    </row>
    <row r="99" spans="3:5" ht="12.75" x14ac:dyDescent="0.2">
      <c r="C99" s="12"/>
      <c r="E99" s="12"/>
    </row>
    <row r="100" spans="3:5" ht="12.75" x14ac:dyDescent="0.2">
      <c r="C100" s="12"/>
      <c r="E100" s="12"/>
    </row>
    <row r="101" spans="3:5" ht="12.75" x14ac:dyDescent="0.2">
      <c r="C101" s="12"/>
      <c r="E101" s="12"/>
    </row>
    <row r="102" spans="3:5" ht="12.75" x14ac:dyDescent="0.2">
      <c r="C102" s="12"/>
      <c r="E102" s="12"/>
    </row>
    <row r="103" spans="3:5" ht="12.75" x14ac:dyDescent="0.2">
      <c r="C103" s="12"/>
      <c r="E103" s="12"/>
    </row>
    <row r="104" spans="3:5" ht="12.75" x14ac:dyDescent="0.2">
      <c r="C104" s="12"/>
      <c r="E104" s="12"/>
    </row>
    <row r="105" spans="3:5" ht="12.75" x14ac:dyDescent="0.2">
      <c r="C105" s="12"/>
      <c r="E105" s="12"/>
    </row>
    <row r="106" spans="3:5" ht="12.75" x14ac:dyDescent="0.2">
      <c r="C106" s="12"/>
      <c r="E106" s="12"/>
    </row>
    <row r="107" spans="3:5" ht="12.75" x14ac:dyDescent="0.2">
      <c r="C107" s="12"/>
      <c r="E107" s="12"/>
    </row>
    <row r="108" spans="3:5" ht="12.75" x14ac:dyDescent="0.2">
      <c r="C108" s="12"/>
      <c r="E108" s="12"/>
    </row>
    <row r="109" spans="3:5" ht="12.75" x14ac:dyDescent="0.2">
      <c r="C109" s="12"/>
      <c r="E109" s="12"/>
    </row>
    <row r="110" spans="3:5" ht="12.75" x14ac:dyDescent="0.2">
      <c r="C110" s="12"/>
      <c r="E110" s="12"/>
    </row>
    <row r="111" spans="3:5" ht="12.75" x14ac:dyDescent="0.2">
      <c r="C111" s="12"/>
      <c r="E111" s="12"/>
    </row>
    <row r="112" spans="3:5" ht="12.75" x14ac:dyDescent="0.2">
      <c r="C112" s="12"/>
      <c r="E112" s="12"/>
    </row>
    <row r="113" spans="3:5" ht="12.75" x14ac:dyDescent="0.2">
      <c r="C113" s="12"/>
      <c r="E113" s="12"/>
    </row>
    <row r="114" spans="3:5" ht="12.75" x14ac:dyDescent="0.2">
      <c r="C114" s="12"/>
      <c r="E114" s="12"/>
    </row>
    <row r="115" spans="3:5" ht="12.75" x14ac:dyDescent="0.2">
      <c r="C115" s="12"/>
      <c r="E115" s="12"/>
    </row>
    <row r="116" spans="3:5" ht="12.75" x14ac:dyDescent="0.2">
      <c r="C116" s="12"/>
      <c r="E116" s="12"/>
    </row>
    <row r="117" spans="3:5" ht="12.75" x14ac:dyDescent="0.2">
      <c r="C117" s="12"/>
      <c r="E117" s="12"/>
    </row>
    <row r="118" spans="3:5" ht="12.75" x14ac:dyDescent="0.2">
      <c r="C118" s="12"/>
      <c r="E118" s="12"/>
    </row>
    <row r="119" spans="3:5" ht="12.75" x14ac:dyDescent="0.2">
      <c r="C119" s="12"/>
      <c r="E119" s="12"/>
    </row>
    <row r="120" spans="3:5" ht="12.75" x14ac:dyDescent="0.2">
      <c r="C120" s="12"/>
      <c r="E120" s="12"/>
    </row>
    <row r="121" spans="3:5" ht="12.75" x14ac:dyDescent="0.2">
      <c r="C121" s="12"/>
      <c r="E121" s="12"/>
    </row>
    <row r="122" spans="3:5" ht="12.75" x14ac:dyDescent="0.2">
      <c r="C122" s="12"/>
      <c r="E122" s="12"/>
    </row>
    <row r="123" spans="3:5" ht="12.75" x14ac:dyDescent="0.2">
      <c r="C123" s="12"/>
      <c r="E123" s="12"/>
    </row>
    <row r="124" spans="3:5" ht="12.75" x14ac:dyDescent="0.2">
      <c r="C124" s="12"/>
      <c r="E124" s="12"/>
    </row>
    <row r="125" spans="3:5" ht="12.75" x14ac:dyDescent="0.2">
      <c r="C125" s="12"/>
      <c r="E125" s="12"/>
    </row>
    <row r="126" spans="3:5" ht="12.75" x14ac:dyDescent="0.2">
      <c r="C126" s="12"/>
      <c r="E126" s="12"/>
    </row>
    <row r="127" spans="3:5" ht="12.75" x14ac:dyDescent="0.2">
      <c r="C127" s="12"/>
      <c r="E127" s="12"/>
    </row>
    <row r="128" spans="3:5" ht="12.75" x14ac:dyDescent="0.2">
      <c r="C128" s="12"/>
      <c r="E128" s="12"/>
    </row>
    <row r="129" spans="3:5" ht="12.75" x14ac:dyDescent="0.2">
      <c r="C129" s="12"/>
      <c r="E129" s="12"/>
    </row>
    <row r="130" spans="3:5" ht="12.75" x14ac:dyDescent="0.2">
      <c r="C130" s="12"/>
      <c r="E130" s="12"/>
    </row>
    <row r="131" spans="3:5" ht="12.75" x14ac:dyDescent="0.2">
      <c r="C131" s="12"/>
      <c r="E131" s="12"/>
    </row>
    <row r="132" spans="3:5" ht="12.75" x14ac:dyDescent="0.2">
      <c r="C132" s="12"/>
      <c r="E132" s="12"/>
    </row>
    <row r="133" spans="3:5" ht="12.75" x14ac:dyDescent="0.2">
      <c r="C133" s="12"/>
      <c r="E133" s="12"/>
    </row>
    <row r="134" spans="3:5" ht="12.75" x14ac:dyDescent="0.2">
      <c r="C134" s="12"/>
      <c r="E134" s="12"/>
    </row>
    <row r="135" spans="3:5" ht="12.75" x14ac:dyDescent="0.2">
      <c r="C135" s="12"/>
      <c r="E135" s="12"/>
    </row>
    <row r="136" spans="3:5" ht="12.75" x14ac:dyDescent="0.2">
      <c r="C136" s="12"/>
      <c r="E136" s="12"/>
    </row>
    <row r="137" spans="3:5" ht="12.75" x14ac:dyDescent="0.2">
      <c r="C137" s="12"/>
      <c r="E137" s="12"/>
    </row>
    <row r="138" spans="3:5" ht="12.75" x14ac:dyDescent="0.2">
      <c r="C138" s="12"/>
      <c r="E138" s="12"/>
    </row>
    <row r="139" spans="3:5" ht="12.75" x14ac:dyDescent="0.2">
      <c r="C139" s="12"/>
      <c r="E139" s="12"/>
    </row>
    <row r="140" spans="3:5" ht="12.75" x14ac:dyDescent="0.2">
      <c r="C140" s="12"/>
      <c r="E140" s="12"/>
    </row>
    <row r="141" spans="3:5" ht="12.75" x14ac:dyDescent="0.2">
      <c r="C141" s="12"/>
      <c r="E141" s="12"/>
    </row>
    <row r="142" spans="3:5" ht="12.75" x14ac:dyDescent="0.2">
      <c r="C142" s="12"/>
      <c r="E142" s="12"/>
    </row>
    <row r="143" spans="3:5" ht="12.75" x14ac:dyDescent="0.2">
      <c r="C143" s="12"/>
      <c r="E143" s="12"/>
    </row>
    <row r="144" spans="3:5" ht="12.75" x14ac:dyDescent="0.2">
      <c r="C144" s="12"/>
      <c r="E144" s="12"/>
    </row>
    <row r="145" spans="3:5" ht="12.75" x14ac:dyDescent="0.2">
      <c r="C145" s="12"/>
      <c r="E145" s="12"/>
    </row>
    <row r="146" spans="3:5" ht="12.75" x14ac:dyDescent="0.2">
      <c r="C146" s="12"/>
      <c r="E146" s="12"/>
    </row>
    <row r="147" spans="3:5" ht="12.75" x14ac:dyDescent="0.2">
      <c r="C147" s="12"/>
      <c r="E147" s="12"/>
    </row>
    <row r="148" spans="3:5" ht="12.75" x14ac:dyDescent="0.2">
      <c r="C148" s="12"/>
      <c r="E148" s="12"/>
    </row>
    <row r="149" spans="3:5" ht="12.75" x14ac:dyDescent="0.2">
      <c r="C149" s="12"/>
      <c r="E149" s="12"/>
    </row>
    <row r="150" spans="3:5" ht="12.75" x14ac:dyDescent="0.2">
      <c r="C150" s="12"/>
      <c r="E150" s="12"/>
    </row>
    <row r="151" spans="3:5" ht="12.75" x14ac:dyDescent="0.2">
      <c r="C151" s="12"/>
      <c r="E151" s="12"/>
    </row>
    <row r="152" spans="3:5" ht="12.75" x14ac:dyDescent="0.2">
      <c r="C152" s="12"/>
      <c r="E152" s="12"/>
    </row>
    <row r="153" spans="3:5" ht="12.75" x14ac:dyDescent="0.2">
      <c r="C153" s="12"/>
      <c r="E153" s="12"/>
    </row>
    <row r="154" spans="3:5" ht="12.75" x14ac:dyDescent="0.2">
      <c r="C154" s="12"/>
      <c r="E154" s="12"/>
    </row>
    <row r="155" spans="3:5" ht="12.75" x14ac:dyDescent="0.2">
      <c r="C155" s="12"/>
      <c r="E155" s="12"/>
    </row>
    <row r="156" spans="3:5" ht="12.75" x14ac:dyDescent="0.2">
      <c r="C156" s="12"/>
      <c r="E156" s="12"/>
    </row>
    <row r="157" spans="3:5" ht="12.75" x14ac:dyDescent="0.2">
      <c r="C157" s="12"/>
      <c r="E157" s="12"/>
    </row>
    <row r="158" spans="3:5" ht="12.75" x14ac:dyDescent="0.2">
      <c r="C158" s="12"/>
      <c r="E158" s="12"/>
    </row>
    <row r="159" spans="3:5" ht="12.75" x14ac:dyDescent="0.2">
      <c r="C159" s="12"/>
      <c r="E159" s="12"/>
    </row>
    <row r="160" spans="3:5" ht="12.75" x14ac:dyDescent="0.2">
      <c r="C160" s="12"/>
      <c r="E160" s="12"/>
    </row>
    <row r="161" spans="3:5" ht="12.75" x14ac:dyDescent="0.2">
      <c r="C161" s="12"/>
      <c r="E161" s="12"/>
    </row>
    <row r="162" spans="3:5" ht="12.75" x14ac:dyDescent="0.2">
      <c r="C162" s="12"/>
      <c r="E162" s="12"/>
    </row>
    <row r="163" spans="3:5" ht="12.75" x14ac:dyDescent="0.2">
      <c r="C163" s="12"/>
      <c r="E163" s="12"/>
    </row>
    <row r="164" spans="3:5" ht="12.75" x14ac:dyDescent="0.2">
      <c r="C164" s="12"/>
      <c r="E164" s="12"/>
    </row>
    <row r="165" spans="3:5" ht="12.75" x14ac:dyDescent="0.2">
      <c r="C165" s="12"/>
      <c r="E165" s="12"/>
    </row>
    <row r="166" spans="3:5" ht="12.75" x14ac:dyDescent="0.2">
      <c r="C166" s="12"/>
      <c r="E166" s="12"/>
    </row>
    <row r="167" spans="3:5" ht="12.75" x14ac:dyDescent="0.2">
      <c r="C167" s="12"/>
      <c r="E167" s="12"/>
    </row>
    <row r="168" spans="3:5" ht="12.75" x14ac:dyDescent="0.2">
      <c r="C168" s="12"/>
      <c r="E168" s="12"/>
    </row>
    <row r="169" spans="3:5" ht="12.75" x14ac:dyDescent="0.2">
      <c r="C169" s="12"/>
      <c r="E169" s="12"/>
    </row>
    <row r="170" spans="3:5" ht="12.75" x14ac:dyDescent="0.2">
      <c r="C170" s="12"/>
      <c r="E170" s="12"/>
    </row>
    <row r="171" spans="3:5" ht="12.75" x14ac:dyDescent="0.2">
      <c r="C171" s="12"/>
      <c r="E171" s="12"/>
    </row>
    <row r="172" spans="3:5" ht="12.75" x14ac:dyDescent="0.2">
      <c r="C172" s="12"/>
      <c r="E172" s="12"/>
    </row>
    <row r="173" spans="3:5" ht="12.75" x14ac:dyDescent="0.2">
      <c r="C173" s="12"/>
      <c r="E173" s="12"/>
    </row>
    <row r="174" spans="3:5" ht="12.75" x14ac:dyDescent="0.2">
      <c r="C174" s="12"/>
      <c r="E174" s="12"/>
    </row>
    <row r="175" spans="3:5" ht="12.75" x14ac:dyDescent="0.2">
      <c r="C175" s="12"/>
      <c r="E175" s="12"/>
    </row>
    <row r="176" spans="3:5" ht="12.75" x14ac:dyDescent="0.2">
      <c r="C176" s="12"/>
      <c r="E176" s="12"/>
    </row>
    <row r="177" spans="3:5" ht="12.75" x14ac:dyDescent="0.2">
      <c r="C177" s="12"/>
      <c r="E177" s="12"/>
    </row>
    <row r="178" spans="3:5" ht="12.75" x14ac:dyDescent="0.2">
      <c r="C178" s="12"/>
      <c r="E178" s="12"/>
    </row>
    <row r="179" spans="3:5" ht="12.75" x14ac:dyDescent="0.2">
      <c r="C179" s="12"/>
      <c r="E179" s="12"/>
    </row>
    <row r="180" spans="3:5" ht="12.75" x14ac:dyDescent="0.2">
      <c r="C180" s="12"/>
      <c r="E180" s="12"/>
    </row>
    <row r="181" spans="3:5" ht="12.75" x14ac:dyDescent="0.2">
      <c r="C181" s="12"/>
      <c r="E181" s="12"/>
    </row>
    <row r="182" spans="3:5" ht="12.75" x14ac:dyDescent="0.2">
      <c r="C182" s="12"/>
      <c r="E182" s="12"/>
    </row>
    <row r="183" spans="3:5" ht="12.75" x14ac:dyDescent="0.2">
      <c r="C183" s="12"/>
      <c r="E183" s="12"/>
    </row>
    <row r="184" spans="3:5" ht="12.75" x14ac:dyDescent="0.2">
      <c r="C184" s="12"/>
      <c r="E184" s="12"/>
    </row>
    <row r="185" spans="3:5" ht="12.75" x14ac:dyDescent="0.2">
      <c r="C185" s="12"/>
      <c r="E185" s="12"/>
    </row>
    <row r="186" spans="3:5" ht="12.75" x14ac:dyDescent="0.2">
      <c r="C186" s="12"/>
      <c r="E186" s="12"/>
    </row>
    <row r="187" spans="3:5" ht="12.75" x14ac:dyDescent="0.2">
      <c r="C187" s="12"/>
      <c r="E187" s="12"/>
    </row>
    <row r="188" spans="3:5" ht="12.75" x14ac:dyDescent="0.2">
      <c r="C188" s="12"/>
      <c r="E188" s="12"/>
    </row>
    <row r="189" spans="3:5" ht="12.75" x14ac:dyDescent="0.2">
      <c r="C189" s="12"/>
      <c r="E189" s="12"/>
    </row>
    <row r="190" spans="3:5" ht="12.75" x14ac:dyDescent="0.2">
      <c r="C190" s="12"/>
      <c r="E190" s="12"/>
    </row>
    <row r="191" spans="3:5" ht="12.75" x14ac:dyDescent="0.2">
      <c r="C191" s="12"/>
      <c r="E191" s="12"/>
    </row>
    <row r="192" spans="3:5" ht="12.75" x14ac:dyDescent="0.2">
      <c r="C192" s="12"/>
      <c r="E192" s="12"/>
    </row>
    <row r="193" spans="3:5" ht="12.75" x14ac:dyDescent="0.2">
      <c r="C193" s="12"/>
      <c r="E193" s="12"/>
    </row>
    <row r="194" spans="3:5" ht="12.75" x14ac:dyDescent="0.2">
      <c r="C194" s="12"/>
      <c r="E194" s="12"/>
    </row>
    <row r="195" spans="3:5" ht="12.75" x14ac:dyDescent="0.2">
      <c r="C195" s="12"/>
      <c r="E195" s="12"/>
    </row>
    <row r="196" spans="3:5" ht="12.75" x14ac:dyDescent="0.2">
      <c r="C196" s="12"/>
      <c r="E196" s="12"/>
    </row>
    <row r="197" spans="3:5" ht="12.75" x14ac:dyDescent="0.2">
      <c r="C197" s="12"/>
      <c r="E197" s="12"/>
    </row>
    <row r="198" spans="3:5" ht="12.75" x14ac:dyDescent="0.2">
      <c r="C198" s="12"/>
      <c r="E198" s="12"/>
    </row>
    <row r="199" spans="3:5" ht="12.75" x14ac:dyDescent="0.2">
      <c r="C199" s="12"/>
      <c r="E199" s="12"/>
    </row>
    <row r="200" spans="3:5" ht="12.75" x14ac:dyDescent="0.2">
      <c r="C200" s="12"/>
      <c r="E200" s="12"/>
    </row>
    <row r="201" spans="3:5" ht="12.75" x14ac:dyDescent="0.2">
      <c r="C201" s="12"/>
      <c r="E201" s="12"/>
    </row>
    <row r="202" spans="3:5" ht="12.75" x14ac:dyDescent="0.2">
      <c r="C202" s="12"/>
      <c r="E202" s="12"/>
    </row>
    <row r="203" spans="3:5" ht="12.75" x14ac:dyDescent="0.2">
      <c r="C203" s="12"/>
      <c r="E203" s="12"/>
    </row>
    <row r="204" spans="3:5" ht="12.75" x14ac:dyDescent="0.2">
      <c r="C204" s="12"/>
      <c r="E204" s="12"/>
    </row>
    <row r="205" spans="3:5" ht="12.75" x14ac:dyDescent="0.2">
      <c r="C205" s="12"/>
      <c r="E205" s="12"/>
    </row>
    <row r="206" spans="3:5" ht="12.75" x14ac:dyDescent="0.2">
      <c r="C206" s="12"/>
      <c r="E206" s="12"/>
    </row>
    <row r="207" spans="3:5" ht="12.75" x14ac:dyDescent="0.2">
      <c r="C207" s="12"/>
      <c r="E207" s="12"/>
    </row>
    <row r="208" spans="3:5" ht="12.75" x14ac:dyDescent="0.2">
      <c r="C208" s="12"/>
      <c r="E208" s="12"/>
    </row>
    <row r="209" spans="3:5" ht="12.75" x14ac:dyDescent="0.2">
      <c r="C209" s="12"/>
      <c r="E209" s="12"/>
    </row>
    <row r="210" spans="3:5" ht="12.75" x14ac:dyDescent="0.2">
      <c r="C210" s="12"/>
      <c r="E210" s="12"/>
    </row>
    <row r="211" spans="3:5" ht="12.75" x14ac:dyDescent="0.2">
      <c r="C211" s="12"/>
      <c r="E211" s="12"/>
    </row>
    <row r="212" spans="3:5" ht="12.75" x14ac:dyDescent="0.2">
      <c r="C212" s="12"/>
      <c r="E212" s="12"/>
    </row>
    <row r="213" spans="3:5" ht="12.75" x14ac:dyDescent="0.2">
      <c r="C213" s="12"/>
      <c r="E213" s="12"/>
    </row>
    <row r="214" spans="3:5" ht="12.75" x14ac:dyDescent="0.2">
      <c r="C214" s="12"/>
      <c r="E214" s="12"/>
    </row>
    <row r="215" spans="3:5" ht="12.75" x14ac:dyDescent="0.2">
      <c r="C215" s="12"/>
      <c r="E215" s="12"/>
    </row>
    <row r="216" spans="3:5" ht="12.75" x14ac:dyDescent="0.2">
      <c r="C216" s="12"/>
      <c r="E216" s="12"/>
    </row>
    <row r="217" spans="3:5" ht="12.75" x14ac:dyDescent="0.2">
      <c r="C217" s="12"/>
      <c r="E217" s="12"/>
    </row>
    <row r="218" spans="3:5" ht="12.75" x14ac:dyDescent="0.2">
      <c r="C218" s="12"/>
      <c r="E218" s="12"/>
    </row>
    <row r="219" spans="3:5" ht="12.75" x14ac:dyDescent="0.2">
      <c r="C219" s="12"/>
      <c r="E219" s="12"/>
    </row>
    <row r="220" spans="3:5" ht="12.75" x14ac:dyDescent="0.2">
      <c r="C220" s="12"/>
      <c r="E220" s="12"/>
    </row>
    <row r="221" spans="3:5" ht="12.75" x14ac:dyDescent="0.2">
      <c r="C221" s="12"/>
      <c r="E221" s="12"/>
    </row>
    <row r="222" spans="3:5" ht="12.75" x14ac:dyDescent="0.2">
      <c r="C222" s="12"/>
      <c r="E222" s="12"/>
    </row>
    <row r="223" spans="3:5" ht="12.75" x14ac:dyDescent="0.2">
      <c r="C223" s="12"/>
      <c r="E223" s="12"/>
    </row>
    <row r="224" spans="3:5" ht="12.75" x14ac:dyDescent="0.2">
      <c r="C224" s="12"/>
      <c r="E224" s="12"/>
    </row>
    <row r="225" spans="3:5" ht="12.75" x14ac:dyDescent="0.2">
      <c r="C225" s="12"/>
      <c r="E225" s="12"/>
    </row>
    <row r="226" spans="3:5" ht="12.75" x14ac:dyDescent="0.2">
      <c r="C226" s="12"/>
      <c r="E226" s="12"/>
    </row>
    <row r="227" spans="3:5" ht="12.75" x14ac:dyDescent="0.2">
      <c r="C227" s="12"/>
      <c r="E227" s="12"/>
    </row>
    <row r="228" spans="3:5" ht="12.75" x14ac:dyDescent="0.2">
      <c r="C228" s="12"/>
      <c r="E228" s="12"/>
    </row>
    <row r="229" spans="3:5" ht="12.75" x14ac:dyDescent="0.2">
      <c r="C229" s="12"/>
      <c r="E229" s="12"/>
    </row>
    <row r="230" spans="3:5" ht="12.75" x14ac:dyDescent="0.2">
      <c r="C230" s="12"/>
      <c r="E230" s="12"/>
    </row>
    <row r="231" spans="3:5" ht="12.75" x14ac:dyDescent="0.2">
      <c r="C231" s="12"/>
      <c r="E231" s="12"/>
    </row>
    <row r="232" spans="3:5" ht="12.75" x14ac:dyDescent="0.2">
      <c r="C232" s="12"/>
      <c r="E232" s="12"/>
    </row>
    <row r="233" spans="3:5" ht="12.75" x14ac:dyDescent="0.2">
      <c r="C233" s="12"/>
      <c r="E233" s="12"/>
    </row>
    <row r="234" spans="3:5" ht="12.75" x14ac:dyDescent="0.2">
      <c r="C234" s="12"/>
      <c r="E234" s="12"/>
    </row>
    <row r="235" spans="3:5" ht="12.75" x14ac:dyDescent="0.2">
      <c r="C235" s="12"/>
      <c r="E235" s="12"/>
    </row>
    <row r="236" spans="3:5" ht="12.75" x14ac:dyDescent="0.2">
      <c r="C236" s="12"/>
      <c r="E236" s="12"/>
    </row>
    <row r="237" spans="3:5" ht="12.75" x14ac:dyDescent="0.2">
      <c r="C237" s="12"/>
      <c r="E237" s="12"/>
    </row>
    <row r="238" spans="3:5" ht="12.75" x14ac:dyDescent="0.2">
      <c r="C238" s="12"/>
      <c r="E238" s="12"/>
    </row>
    <row r="239" spans="3:5" ht="12.75" x14ac:dyDescent="0.2">
      <c r="C239" s="12"/>
      <c r="E239" s="12"/>
    </row>
    <row r="240" spans="3:5" ht="12.75" x14ac:dyDescent="0.2">
      <c r="C240" s="12"/>
      <c r="E240" s="12"/>
    </row>
    <row r="241" spans="3:5" ht="12.75" x14ac:dyDescent="0.2">
      <c r="C241" s="12"/>
      <c r="E241" s="12"/>
    </row>
    <row r="242" spans="3:5" ht="12.75" x14ac:dyDescent="0.2">
      <c r="C242" s="12"/>
      <c r="E242" s="12"/>
    </row>
    <row r="243" spans="3:5" ht="12.75" x14ac:dyDescent="0.2">
      <c r="C243" s="12"/>
      <c r="E243" s="12"/>
    </row>
    <row r="244" spans="3:5" ht="12.75" x14ac:dyDescent="0.2">
      <c r="C244" s="12"/>
      <c r="E244" s="12"/>
    </row>
    <row r="245" spans="3:5" ht="12.75" x14ac:dyDescent="0.2">
      <c r="C245" s="12"/>
      <c r="E245" s="12"/>
    </row>
    <row r="246" spans="3:5" ht="12.75" x14ac:dyDescent="0.2">
      <c r="C246" s="12"/>
      <c r="E246" s="12"/>
    </row>
    <row r="247" spans="3:5" ht="12.75" x14ac:dyDescent="0.2">
      <c r="C247" s="12"/>
      <c r="E247" s="12"/>
    </row>
    <row r="248" spans="3:5" ht="12.75" x14ac:dyDescent="0.2">
      <c r="C248" s="12"/>
      <c r="E248" s="12"/>
    </row>
    <row r="249" spans="3:5" ht="12.75" x14ac:dyDescent="0.2">
      <c r="C249" s="12"/>
      <c r="E249" s="12"/>
    </row>
    <row r="250" spans="3:5" ht="12.75" x14ac:dyDescent="0.2">
      <c r="C250" s="12"/>
      <c r="E250" s="12"/>
    </row>
    <row r="251" spans="3:5" ht="12.75" x14ac:dyDescent="0.2">
      <c r="C251" s="12"/>
      <c r="E251" s="12"/>
    </row>
    <row r="252" spans="3:5" ht="12.75" x14ac:dyDescent="0.2">
      <c r="C252" s="12"/>
      <c r="E252" s="12"/>
    </row>
    <row r="253" spans="3:5" ht="12.75" x14ac:dyDescent="0.2">
      <c r="C253" s="12"/>
      <c r="E253" s="12"/>
    </row>
    <row r="254" spans="3:5" ht="12.75" x14ac:dyDescent="0.2">
      <c r="C254" s="12"/>
      <c r="E254" s="12"/>
    </row>
    <row r="255" spans="3:5" ht="12.75" x14ac:dyDescent="0.2">
      <c r="C255" s="12"/>
      <c r="E255" s="12"/>
    </row>
    <row r="256" spans="3:5" ht="12.75" x14ac:dyDescent="0.2">
      <c r="C256" s="12"/>
      <c r="E256" s="12"/>
    </row>
    <row r="257" spans="3:5" ht="12.75" x14ac:dyDescent="0.2">
      <c r="C257" s="12"/>
      <c r="E257" s="12"/>
    </row>
    <row r="258" spans="3:5" ht="12.75" x14ac:dyDescent="0.2">
      <c r="C258" s="12"/>
      <c r="E258" s="12"/>
    </row>
    <row r="259" spans="3:5" ht="12.75" x14ac:dyDescent="0.2">
      <c r="C259" s="12"/>
      <c r="E259" s="12"/>
    </row>
    <row r="260" spans="3:5" ht="12.75" x14ac:dyDescent="0.2">
      <c r="C260" s="12"/>
      <c r="E260" s="12"/>
    </row>
    <row r="261" spans="3:5" ht="12.75" x14ac:dyDescent="0.2">
      <c r="C261" s="12"/>
      <c r="E261" s="12"/>
    </row>
    <row r="262" spans="3:5" ht="12.75" x14ac:dyDescent="0.2">
      <c r="C262" s="12"/>
      <c r="E262" s="12"/>
    </row>
    <row r="263" spans="3:5" ht="12.75" x14ac:dyDescent="0.2">
      <c r="C263" s="12"/>
      <c r="E263" s="12"/>
    </row>
    <row r="264" spans="3:5" ht="12.75" x14ac:dyDescent="0.2">
      <c r="C264" s="12"/>
      <c r="E264" s="12"/>
    </row>
    <row r="265" spans="3:5" ht="12.75" x14ac:dyDescent="0.2">
      <c r="C265" s="12"/>
      <c r="E265" s="12"/>
    </row>
    <row r="266" spans="3:5" ht="12.75" x14ac:dyDescent="0.2">
      <c r="C266" s="12"/>
      <c r="E266" s="12"/>
    </row>
    <row r="267" spans="3:5" ht="12.75" x14ac:dyDescent="0.2">
      <c r="C267" s="12"/>
      <c r="E267" s="12"/>
    </row>
    <row r="268" spans="3:5" ht="12.75" x14ac:dyDescent="0.2">
      <c r="C268" s="12"/>
      <c r="E268" s="12"/>
    </row>
    <row r="269" spans="3:5" ht="12.75" x14ac:dyDescent="0.2">
      <c r="C269" s="12"/>
      <c r="E269" s="12"/>
    </row>
    <row r="270" spans="3:5" ht="12.75" x14ac:dyDescent="0.2">
      <c r="C270" s="12"/>
      <c r="E270" s="12"/>
    </row>
    <row r="271" spans="3:5" ht="12.75" x14ac:dyDescent="0.2">
      <c r="C271" s="12"/>
      <c r="E271" s="12"/>
    </row>
    <row r="272" spans="3:5" ht="12.75" x14ac:dyDescent="0.2">
      <c r="C272" s="12"/>
      <c r="E272" s="12"/>
    </row>
    <row r="273" spans="3:5" ht="12.75" x14ac:dyDescent="0.2">
      <c r="C273" s="12"/>
      <c r="E273" s="12"/>
    </row>
    <row r="274" spans="3:5" ht="12.75" x14ac:dyDescent="0.2">
      <c r="C274" s="12"/>
      <c r="E274" s="12"/>
    </row>
    <row r="275" spans="3:5" ht="12.75" x14ac:dyDescent="0.2">
      <c r="C275" s="12"/>
      <c r="E275" s="12"/>
    </row>
    <row r="276" spans="3:5" ht="12.75" x14ac:dyDescent="0.2">
      <c r="C276" s="12"/>
      <c r="E276" s="12"/>
    </row>
    <row r="277" spans="3:5" ht="12.75" x14ac:dyDescent="0.2">
      <c r="C277" s="12"/>
      <c r="E277" s="12"/>
    </row>
    <row r="278" spans="3:5" ht="12.75" x14ac:dyDescent="0.2">
      <c r="C278" s="12"/>
      <c r="E278" s="12"/>
    </row>
    <row r="279" spans="3:5" ht="12.75" x14ac:dyDescent="0.2">
      <c r="C279" s="12"/>
      <c r="E279" s="12"/>
    </row>
    <row r="280" spans="3:5" ht="12.75" x14ac:dyDescent="0.2">
      <c r="C280" s="12"/>
      <c r="E280" s="12"/>
    </row>
    <row r="281" spans="3:5" ht="12.75" x14ac:dyDescent="0.2">
      <c r="C281" s="12"/>
      <c r="E281" s="12"/>
    </row>
    <row r="282" spans="3:5" ht="12.75" x14ac:dyDescent="0.2">
      <c r="C282" s="12"/>
      <c r="E282" s="12"/>
    </row>
    <row r="283" spans="3:5" ht="12.75" x14ac:dyDescent="0.2">
      <c r="C283" s="12"/>
      <c r="E283" s="12"/>
    </row>
    <row r="284" spans="3:5" ht="12.75" x14ac:dyDescent="0.2">
      <c r="C284" s="12"/>
      <c r="E284" s="12"/>
    </row>
    <row r="285" spans="3:5" ht="12.75" x14ac:dyDescent="0.2">
      <c r="C285" s="12"/>
      <c r="E285" s="12"/>
    </row>
    <row r="286" spans="3:5" ht="12.75" x14ac:dyDescent="0.2">
      <c r="C286" s="12"/>
      <c r="E286" s="12"/>
    </row>
    <row r="287" spans="3:5" ht="12.75" x14ac:dyDescent="0.2">
      <c r="C287" s="12"/>
      <c r="E287" s="12"/>
    </row>
    <row r="288" spans="3:5" ht="12.75" x14ac:dyDescent="0.2">
      <c r="C288" s="12"/>
      <c r="E288" s="12"/>
    </row>
    <row r="289" spans="3:5" ht="12.75" x14ac:dyDescent="0.2">
      <c r="C289" s="12"/>
      <c r="E289" s="12"/>
    </row>
    <row r="290" spans="3:5" ht="12.75" x14ac:dyDescent="0.2">
      <c r="C290" s="12"/>
      <c r="E290" s="12"/>
    </row>
    <row r="291" spans="3:5" ht="12.75" x14ac:dyDescent="0.2">
      <c r="C291" s="12"/>
      <c r="E291" s="12"/>
    </row>
    <row r="292" spans="3:5" ht="12.75" x14ac:dyDescent="0.2">
      <c r="C292" s="12"/>
      <c r="E292" s="12"/>
    </row>
    <row r="293" spans="3:5" ht="12.75" x14ac:dyDescent="0.2">
      <c r="C293" s="12"/>
      <c r="E293" s="12"/>
    </row>
    <row r="294" spans="3:5" ht="12.75" x14ac:dyDescent="0.2">
      <c r="C294" s="12"/>
      <c r="E294" s="12"/>
    </row>
    <row r="295" spans="3:5" ht="12.75" x14ac:dyDescent="0.2">
      <c r="C295" s="12"/>
      <c r="E295" s="12"/>
    </row>
    <row r="296" spans="3:5" ht="12.75" x14ac:dyDescent="0.2">
      <c r="C296" s="12"/>
      <c r="E296" s="12"/>
    </row>
    <row r="297" spans="3:5" ht="12.75" x14ac:dyDescent="0.2">
      <c r="C297" s="12"/>
      <c r="E297" s="12"/>
    </row>
    <row r="298" spans="3:5" ht="12.75" x14ac:dyDescent="0.2">
      <c r="C298" s="12"/>
      <c r="E298" s="12"/>
    </row>
    <row r="299" spans="3:5" ht="12.75" x14ac:dyDescent="0.2">
      <c r="C299" s="12"/>
      <c r="E299" s="12"/>
    </row>
    <row r="300" spans="3:5" ht="12.75" x14ac:dyDescent="0.2">
      <c r="C300" s="12"/>
      <c r="E300" s="12"/>
    </row>
    <row r="301" spans="3:5" ht="12.75" x14ac:dyDescent="0.2">
      <c r="C301" s="12"/>
      <c r="E301" s="12"/>
    </row>
    <row r="302" spans="3:5" ht="12.75" x14ac:dyDescent="0.2">
      <c r="C302" s="12"/>
      <c r="E302" s="12"/>
    </row>
    <row r="303" spans="3:5" ht="12.75" x14ac:dyDescent="0.2">
      <c r="C303" s="12"/>
      <c r="E303" s="12"/>
    </row>
    <row r="304" spans="3:5" ht="12.75" x14ac:dyDescent="0.2">
      <c r="C304" s="12"/>
      <c r="E304" s="12"/>
    </row>
    <row r="305" spans="3:5" ht="12.75" x14ac:dyDescent="0.2">
      <c r="C305" s="12"/>
      <c r="E305" s="12"/>
    </row>
    <row r="306" spans="3:5" ht="12.75" x14ac:dyDescent="0.2">
      <c r="C306" s="12"/>
      <c r="E306" s="12"/>
    </row>
    <row r="307" spans="3:5" ht="12.75" x14ac:dyDescent="0.2">
      <c r="C307" s="12"/>
      <c r="E307" s="12"/>
    </row>
    <row r="308" spans="3:5" ht="12.75" x14ac:dyDescent="0.2">
      <c r="C308" s="12"/>
      <c r="E308" s="12"/>
    </row>
    <row r="309" spans="3:5" ht="12.75" x14ac:dyDescent="0.2">
      <c r="C309" s="12"/>
      <c r="E309" s="12"/>
    </row>
    <row r="310" spans="3:5" ht="12.75" x14ac:dyDescent="0.2">
      <c r="C310" s="12"/>
      <c r="E310" s="12"/>
    </row>
    <row r="311" spans="3:5" ht="12.75" x14ac:dyDescent="0.2">
      <c r="C311" s="12"/>
      <c r="E311" s="12"/>
    </row>
    <row r="312" spans="3:5" ht="12.75" x14ac:dyDescent="0.2">
      <c r="C312" s="12"/>
      <c r="E312" s="12"/>
    </row>
    <row r="313" spans="3:5" ht="12.75" x14ac:dyDescent="0.2">
      <c r="C313" s="12"/>
      <c r="E313" s="12"/>
    </row>
    <row r="314" spans="3:5" ht="12.75" x14ac:dyDescent="0.2">
      <c r="C314" s="12"/>
      <c r="E314" s="12"/>
    </row>
    <row r="315" spans="3:5" ht="12.75" x14ac:dyDescent="0.2">
      <c r="C315" s="12"/>
      <c r="E315" s="12"/>
    </row>
    <row r="316" spans="3:5" ht="12.75" x14ac:dyDescent="0.2">
      <c r="C316" s="12"/>
      <c r="E316" s="12"/>
    </row>
    <row r="317" spans="3:5" ht="12.75" x14ac:dyDescent="0.2">
      <c r="C317" s="12"/>
      <c r="E317" s="12"/>
    </row>
    <row r="318" spans="3:5" ht="12.75" x14ac:dyDescent="0.2">
      <c r="C318" s="12"/>
      <c r="E318" s="12"/>
    </row>
    <row r="319" spans="3:5" ht="12.75" x14ac:dyDescent="0.2">
      <c r="C319" s="12"/>
      <c r="E319" s="12"/>
    </row>
    <row r="320" spans="3:5" ht="12.75" x14ac:dyDescent="0.2">
      <c r="C320" s="12"/>
      <c r="E320" s="12"/>
    </row>
    <row r="321" spans="3:5" ht="12.75" x14ac:dyDescent="0.2">
      <c r="C321" s="12"/>
      <c r="E321" s="12"/>
    </row>
    <row r="322" spans="3:5" ht="12.75" x14ac:dyDescent="0.2">
      <c r="C322" s="12"/>
      <c r="E322" s="12"/>
    </row>
    <row r="323" spans="3:5" ht="12.75" x14ac:dyDescent="0.2">
      <c r="C323" s="12"/>
      <c r="E323" s="12"/>
    </row>
    <row r="324" spans="3:5" ht="12.75" x14ac:dyDescent="0.2">
      <c r="C324" s="12"/>
      <c r="E324" s="12"/>
    </row>
    <row r="325" spans="3:5" ht="12.75" x14ac:dyDescent="0.2">
      <c r="C325" s="12"/>
      <c r="E325" s="12"/>
    </row>
    <row r="326" spans="3:5" ht="12.75" x14ac:dyDescent="0.2">
      <c r="C326" s="12"/>
      <c r="E326" s="12"/>
    </row>
    <row r="327" spans="3:5" ht="12.75" x14ac:dyDescent="0.2">
      <c r="C327" s="12"/>
      <c r="E327" s="12"/>
    </row>
    <row r="328" spans="3:5" ht="12.75" x14ac:dyDescent="0.2">
      <c r="C328" s="12"/>
      <c r="E328" s="12"/>
    </row>
    <row r="329" spans="3:5" ht="12.75" x14ac:dyDescent="0.2">
      <c r="C329" s="12"/>
      <c r="E329" s="12"/>
    </row>
    <row r="330" spans="3:5" ht="12.75" x14ac:dyDescent="0.2">
      <c r="C330" s="12"/>
      <c r="E330" s="12"/>
    </row>
    <row r="331" spans="3:5" ht="12.75" x14ac:dyDescent="0.2">
      <c r="C331" s="12"/>
      <c r="E331" s="12"/>
    </row>
    <row r="332" spans="3:5" ht="12.75" x14ac:dyDescent="0.2">
      <c r="C332" s="12"/>
      <c r="E332" s="12"/>
    </row>
    <row r="333" spans="3:5" ht="12.75" x14ac:dyDescent="0.2">
      <c r="C333" s="12"/>
      <c r="E333" s="12"/>
    </row>
    <row r="334" spans="3:5" ht="12.75" x14ac:dyDescent="0.2">
      <c r="C334" s="12"/>
      <c r="E334" s="12"/>
    </row>
    <row r="335" spans="3:5" ht="12.75" x14ac:dyDescent="0.2">
      <c r="C335" s="12"/>
      <c r="E335" s="12"/>
    </row>
    <row r="336" spans="3:5" ht="12.75" x14ac:dyDescent="0.2">
      <c r="C336" s="12"/>
      <c r="E336" s="12"/>
    </row>
    <row r="337" spans="3:5" ht="12.75" x14ac:dyDescent="0.2">
      <c r="C337" s="12"/>
      <c r="E337" s="12"/>
    </row>
    <row r="338" spans="3:5" ht="12.75" x14ac:dyDescent="0.2">
      <c r="C338" s="12"/>
      <c r="E338" s="12"/>
    </row>
    <row r="339" spans="3:5" ht="12.75" x14ac:dyDescent="0.2">
      <c r="C339" s="12"/>
      <c r="E339" s="12"/>
    </row>
    <row r="340" spans="3:5" ht="12.75" x14ac:dyDescent="0.2">
      <c r="C340" s="12"/>
      <c r="E340" s="12"/>
    </row>
    <row r="341" spans="3:5" ht="12.75" x14ac:dyDescent="0.2">
      <c r="C341" s="12"/>
      <c r="E341" s="12"/>
    </row>
    <row r="342" spans="3:5" ht="12.75" x14ac:dyDescent="0.2">
      <c r="C342" s="12"/>
      <c r="E342" s="12"/>
    </row>
    <row r="343" spans="3:5" ht="12.75" x14ac:dyDescent="0.2">
      <c r="C343" s="12"/>
      <c r="E343" s="12"/>
    </row>
    <row r="344" spans="3:5" ht="12.75" x14ac:dyDescent="0.2">
      <c r="C344" s="12"/>
      <c r="E344" s="12"/>
    </row>
    <row r="345" spans="3:5" ht="12.75" x14ac:dyDescent="0.2">
      <c r="C345" s="12"/>
      <c r="E345" s="12"/>
    </row>
    <row r="346" spans="3:5" ht="12.75" x14ac:dyDescent="0.2">
      <c r="C346" s="12"/>
      <c r="E346" s="12"/>
    </row>
    <row r="347" spans="3:5" ht="12.75" x14ac:dyDescent="0.2">
      <c r="C347" s="12"/>
      <c r="E347" s="12"/>
    </row>
    <row r="348" spans="3:5" ht="12.75" x14ac:dyDescent="0.2">
      <c r="C348" s="12"/>
      <c r="E348" s="12"/>
    </row>
    <row r="349" spans="3:5" ht="12.75" x14ac:dyDescent="0.2">
      <c r="C349" s="12"/>
      <c r="E349" s="12"/>
    </row>
    <row r="350" spans="3:5" ht="12.75" x14ac:dyDescent="0.2">
      <c r="C350" s="12"/>
      <c r="E350" s="12"/>
    </row>
    <row r="351" spans="3:5" ht="12.75" x14ac:dyDescent="0.2">
      <c r="C351" s="12"/>
      <c r="E351" s="12"/>
    </row>
    <row r="352" spans="3:5" ht="12.75" x14ac:dyDescent="0.2">
      <c r="C352" s="12"/>
      <c r="E352" s="12"/>
    </row>
    <row r="353" spans="3:5" ht="12.75" x14ac:dyDescent="0.2">
      <c r="C353" s="12"/>
      <c r="E353" s="12"/>
    </row>
    <row r="354" spans="3:5" ht="12.75" x14ac:dyDescent="0.2">
      <c r="C354" s="12"/>
      <c r="E354" s="12"/>
    </row>
    <row r="355" spans="3:5" ht="12.75" x14ac:dyDescent="0.2">
      <c r="C355" s="12"/>
      <c r="E355" s="12"/>
    </row>
    <row r="356" spans="3:5" ht="12.75" x14ac:dyDescent="0.2">
      <c r="C356" s="12"/>
      <c r="E356" s="12"/>
    </row>
    <row r="357" spans="3:5" ht="12.75" x14ac:dyDescent="0.2">
      <c r="C357" s="12"/>
      <c r="E357" s="12"/>
    </row>
    <row r="358" spans="3:5" ht="12.75" x14ac:dyDescent="0.2">
      <c r="C358" s="12"/>
      <c r="E358" s="12"/>
    </row>
    <row r="359" spans="3:5" ht="12.75" x14ac:dyDescent="0.2">
      <c r="C359" s="12"/>
      <c r="E359" s="12"/>
    </row>
    <row r="360" spans="3:5" ht="12.75" x14ac:dyDescent="0.2">
      <c r="C360" s="12"/>
      <c r="E360" s="12"/>
    </row>
    <row r="361" spans="3:5" ht="12.75" x14ac:dyDescent="0.2">
      <c r="C361" s="12"/>
      <c r="E361" s="12"/>
    </row>
    <row r="362" spans="3:5" ht="12.75" x14ac:dyDescent="0.2">
      <c r="C362" s="12"/>
      <c r="E362" s="12"/>
    </row>
    <row r="363" spans="3:5" ht="12.75" x14ac:dyDescent="0.2">
      <c r="C363" s="12"/>
      <c r="E363" s="12"/>
    </row>
    <row r="364" spans="3:5" ht="12.75" x14ac:dyDescent="0.2">
      <c r="C364" s="12"/>
      <c r="E364" s="12"/>
    </row>
    <row r="365" spans="3:5" ht="12.75" x14ac:dyDescent="0.2">
      <c r="C365" s="12"/>
      <c r="E365" s="12"/>
    </row>
    <row r="366" spans="3:5" ht="12.75" x14ac:dyDescent="0.2">
      <c r="C366" s="12"/>
      <c r="E366" s="12"/>
    </row>
    <row r="367" spans="3:5" ht="12.75" x14ac:dyDescent="0.2">
      <c r="C367" s="12"/>
      <c r="E367" s="12"/>
    </row>
    <row r="368" spans="3:5" ht="12.75" x14ac:dyDescent="0.2">
      <c r="C368" s="12"/>
      <c r="E368" s="12"/>
    </row>
    <row r="369" spans="3:5" ht="12.75" x14ac:dyDescent="0.2">
      <c r="C369" s="12"/>
      <c r="E369" s="12"/>
    </row>
    <row r="370" spans="3:5" ht="12.75" x14ac:dyDescent="0.2">
      <c r="C370" s="12"/>
      <c r="E370" s="12"/>
    </row>
    <row r="371" spans="3:5" ht="12.75" x14ac:dyDescent="0.2">
      <c r="C371" s="12"/>
      <c r="E371" s="12"/>
    </row>
    <row r="372" spans="3:5" ht="12.75" x14ac:dyDescent="0.2">
      <c r="C372" s="12"/>
      <c r="E372" s="12"/>
    </row>
    <row r="373" spans="3:5" ht="12.75" x14ac:dyDescent="0.2">
      <c r="C373" s="12"/>
      <c r="E373" s="12"/>
    </row>
    <row r="374" spans="3:5" ht="12.75" x14ac:dyDescent="0.2">
      <c r="C374" s="12"/>
      <c r="E374" s="12"/>
    </row>
    <row r="375" spans="3:5" ht="12.75" x14ac:dyDescent="0.2">
      <c r="C375" s="12"/>
      <c r="E375" s="12"/>
    </row>
    <row r="376" spans="3:5" ht="12.75" x14ac:dyDescent="0.2">
      <c r="C376" s="12"/>
      <c r="E376" s="12"/>
    </row>
    <row r="377" spans="3:5" ht="12.75" x14ac:dyDescent="0.2">
      <c r="C377" s="12"/>
      <c r="E377" s="12"/>
    </row>
    <row r="378" spans="3:5" ht="12.75" x14ac:dyDescent="0.2">
      <c r="C378" s="12"/>
      <c r="E378" s="12"/>
    </row>
    <row r="379" spans="3:5" ht="12.75" x14ac:dyDescent="0.2">
      <c r="C379" s="12"/>
      <c r="E379" s="12"/>
    </row>
    <row r="380" spans="3:5" ht="12.75" x14ac:dyDescent="0.2">
      <c r="C380" s="12"/>
      <c r="E380" s="12"/>
    </row>
    <row r="381" spans="3:5" ht="12.75" x14ac:dyDescent="0.2">
      <c r="C381" s="12"/>
      <c r="E381" s="12"/>
    </row>
    <row r="382" spans="3:5" ht="12.75" x14ac:dyDescent="0.2">
      <c r="C382" s="12"/>
      <c r="E382" s="12"/>
    </row>
    <row r="383" spans="3:5" ht="12.75" x14ac:dyDescent="0.2">
      <c r="C383" s="12"/>
      <c r="E383" s="12"/>
    </row>
    <row r="384" spans="3:5" ht="12.75" x14ac:dyDescent="0.2">
      <c r="C384" s="12"/>
      <c r="E384" s="12"/>
    </row>
    <row r="385" spans="3:5" ht="12.75" x14ac:dyDescent="0.2">
      <c r="C385" s="12"/>
      <c r="E385" s="12"/>
    </row>
    <row r="386" spans="3:5" ht="12.75" x14ac:dyDescent="0.2">
      <c r="C386" s="12"/>
      <c r="E386" s="12"/>
    </row>
    <row r="387" spans="3:5" ht="12.75" x14ac:dyDescent="0.2">
      <c r="C387" s="12"/>
      <c r="E387" s="12"/>
    </row>
    <row r="388" spans="3:5" ht="12.75" x14ac:dyDescent="0.2">
      <c r="C388" s="12"/>
      <c r="E388" s="12"/>
    </row>
    <row r="389" spans="3:5" ht="12.75" x14ac:dyDescent="0.2">
      <c r="C389" s="12"/>
      <c r="E389" s="12"/>
    </row>
    <row r="390" spans="3:5" ht="12.75" x14ac:dyDescent="0.2">
      <c r="C390" s="12"/>
      <c r="E390" s="12"/>
    </row>
    <row r="391" spans="3:5" ht="12.75" x14ac:dyDescent="0.2">
      <c r="C391" s="12"/>
      <c r="E391" s="12"/>
    </row>
    <row r="392" spans="3:5" ht="12.75" x14ac:dyDescent="0.2">
      <c r="C392" s="12"/>
      <c r="E392" s="12"/>
    </row>
    <row r="393" spans="3:5" ht="12.75" x14ac:dyDescent="0.2">
      <c r="C393" s="12"/>
      <c r="E393" s="12"/>
    </row>
    <row r="394" spans="3:5" ht="12.75" x14ac:dyDescent="0.2">
      <c r="C394" s="12"/>
      <c r="E394" s="12"/>
    </row>
    <row r="395" spans="3:5" ht="12.75" x14ac:dyDescent="0.2">
      <c r="C395" s="12"/>
      <c r="E395" s="12"/>
    </row>
    <row r="396" spans="3:5" ht="12.75" x14ac:dyDescent="0.2">
      <c r="C396" s="12"/>
      <c r="E396" s="12"/>
    </row>
    <row r="397" spans="3:5" ht="12.75" x14ac:dyDescent="0.2">
      <c r="C397" s="12"/>
      <c r="E397" s="12"/>
    </row>
    <row r="398" spans="3:5" ht="12.75" x14ac:dyDescent="0.2">
      <c r="C398" s="12"/>
      <c r="E398" s="12"/>
    </row>
    <row r="399" spans="3:5" ht="12.75" x14ac:dyDescent="0.2">
      <c r="C399" s="12"/>
      <c r="E399" s="12"/>
    </row>
    <row r="400" spans="3:5" ht="12.75" x14ac:dyDescent="0.2">
      <c r="C400" s="12"/>
      <c r="E400" s="12"/>
    </row>
    <row r="401" spans="3:5" ht="12.75" x14ac:dyDescent="0.2">
      <c r="C401" s="12"/>
      <c r="E401" s="12"/>
    </row>
    <row r="402" spans="3:5" ht="12.75" x14ac:dyDescent="0.2">
      <c r="C402" s="12"/>
      <c r="E402" s="12"/>
    </row>
    <row r="403" spans="3:5" ht="12.75" x14ac:dyDescent="0.2">
      <c r="C403" s="12"/>
      <c r="E403" s="12"/>
    </row>
    <row r="404" spans="3:5" ht="12.75" x14ac:dyDescent="0.2">
      <c r="C404" s="12"/>
      <c r="E404" s="12"/>
    </row>
    <row r="405" spans="3:5" ht="12.75" x14ac:dyDescent="0.2">
      <c r="C405" s="12"/>
      <c r="E405" s="12"/>
    </row>
    <row r="406" spans="3:5" ht="12.75" x14ac:dyDescent="0.2">
      <c r="C406" s="12"/>
      <c r="E406" s="12"/>
    </row>
    <row r="407" spans="3:5" ht="12.75" x14ac:dyDescent="0.2">
      <c r="C407" s="12"/>
      <c r="E407" s="12"/>
    </row>
    <row r="408" spans="3:5" ht="12.75" x14ac:dyDescent="0.2">
      <c r="C408" s="12"/>
      <c r="E408" s="12"/>
    </row>
    <row r="409" spans="3:5" ht="12.75" x14ac:dyDescent="0.2">
      <c r="C409" s="12"/>
      <c r="E409" s="12"/>
    </row>
    <row r="410" spans="3:5" ht="12.75" x14ac:dyDescent="0.2">
      <c r="C410" s="12"/>
      <c r="E410" s="12"/>
    </row>
    <row r="411" spans="3:5" ht="12.75" x14ac:dyDescent="0.2">
      <c r="C411" s="12"/>
      <c r="E411" s="12"/>
    </row>
    <row r="412" spans="3:5" ht="12.75" x14ac:dyDescent="0.2">
      <c r="C412" s="12"/>
      <c r="E412" s="12"/>
    </row>
    <row r="413" spans="3:5" ht="12.75" x14ac:dyDescent="0.2">
      <c r="C413" s="12"/>
      <c r="E413" s="12"/>
    </row>
    <row r="414" spans="3:5" ht="12.75" x14ac:dyDescent="0.2">
      <c r="C414" s="12"/>
      <c r="E414" s="12"/>
    </row>
    <row r="415" spans="3:5" ht="12.75" x14ac:dyDescent="0.2">
      <c r="C415" s="12"/>
      <c r="E415" s="12"/>
    </row>
    <row r="416" spans="3:5" ht="12.75" x14ac:dyDescent="0.2">
      <c r="C416" s="12"/>
      <c r="E416" s="12"/>
    </row>
    <row r="417" spans="3:5" ht="12.75" x14ac:dyDescent="0.2">
      <c r="C417" s="12"/>
      <c r="E417" s="12"/>
    </row>
    <row r="418" spans="3:5" ht="12.75" x14ac:dyDescent="0.2">
      <c r="C418" s="12"/>
      <c r="E418" s="12"/>
    </row>
    <row r="419" spans="3:5" ht="12.75" x14ac:dyDescent="0.2">
      <c r="C419" s="12"/>
      <c r="E419" s="12"/>
    </row>
    <row r="420" spans="3:5" ht="12.75" x14ac:dyDescent="0.2">
      <c r="C420" s="12"/>
      <c r="E420" s="12"/>
    </row>
    <row r="421" spans="3:5" ht="12.75" x14ac:dyDescent="0.2">
      <c r="C421" s="12"/>
      <c r="E421" s="12"/>
    </row>
    <row r="422" spans="3:5" ht="12.75" x14ac:dyDescent="0.2">
      <c r="C422" s="12"/>
      <c r="E422" s="12"/>
    </row>
    <row r="423" spans="3:5" ht="12.75" x14ac:dyDescent="0.2">
      <c r="C423" s="12"/>
      <c r="E423" s="12"/>
    </row>
    <row r="424" spans="3:5" ht="12.75" x14ac:dyDescent="0.2">
      <c r="C424" s="12"/>
      <c r="E424" s="12"/>
    </row>
    <row r="425" spans="3:5" ht="12.75" x14ac:dyDescent="0.2">
      <c r="C425" s="12"/>
      <c r="E425" s="12"/>
    </row>
    <row r="426" spans="3:5" ht="12.75" x14ac:dyDescent="0.2">
      <c r="C426" s="12"/>
      <c r="E426" s="12"/>
    </row>
    <row r="427" spans="3:5" ht="12.75" x14ac:dyDescent="0.2">
      <c r="C427" s="12"/>
      <c r="E427" s="12"/>
    </row>
    <row r="428" spans="3:5" ht="12.75" x14ac:dyDescent="0.2">
      <c r="C428" s="12"/>
      <c r="E428" s="12"/>
    </row>
    <row r="429" spans="3:5" ht="12.75" x14ac:dyDescent="0.2">
      <c r="C429" s="12"/>
      <c r="E429" s="12"/>
    </row>
    <row r="430" spans="3:5" ht="12.75" x14ac:dyDescent="0.2">
      <c r="C430" s="12"/>
      <c r="E430" s="12"/>
    </row>
    <row r="431" spans="3:5" ht="12.75" x14ac:dyDescent="0.2">
      <c r="C431" s="12"/>
      <c r="E431" s="12"/>
    </row>
    <row r="432" spans="3:5" ht="12.75" x14ac:dyDescent="0.2">
      <c r="C432" s="12"/>
      <c r="E432" s="12"/>
    </row>
    <row r="433" spans="3:5" ht="12.75" x14ac:dyDescent="0.2">
      <c r="C433" s="12"/>
      <c r="E433" s="12"/>
    </row>
    <row r="434" spans="3:5" ht="12.75" x14ac:dyDescent="0.2">
      <c r="C434" s="12"/>
      <c r="E434" s="12"/>
    </row>
    <row r="435" spans="3:5" ht="12.75" x14ac:dyDescent="0.2">
      <c r="C435" s="12"/>
      <c r="E435" s="12"/>
    </row>
    <row r="436" spans="3:5" ht="12.75" x14ac:dyDescent="0.2">
      <c r="C436" s="12"/>
      <c r="E436" s="12"/>
    </row>
    <row r="437" spans="3:5" ht="12.75" x14ac:dyDescent="0.2">
      <c r="C437" s="12"/>
      <c r="E437" s="12"/>
    </row>
    <row r="438" spans="3:5" ht="12.75" x14ac:dyDescent="0.2">
      <c r="C438" s="12"/>
      <c r="E438" s="12"/>
    </row>
    <row r="439" spans="3:5" ht="12.75" x14ac:dyDescent="0.2">
      <c r="C439" s="12"/>
      <c r="E439" s="12"/>
    </row>
    <row r="440" spans="3:5" ht="12.75" x14ac:dyDescent="0.2">
      <c r="C440" s="12"/>
      <c r="E440" s="12"/>
    </row>
    <row r="441" spans="3:5" ht="12.75" x14ac:dyDescent="0.2">
      <c r="C441" s="12"/>
      <c r="E441" s="12"/>
    </row>
    <row r="442" spans="3:5" ht="12.75" x14ac:dyDescent="0.2">
      <c r="C442" s="12"/>
      <c r="E442" s="12"/>
    </row>
    <row r="443" spans="3:5" ht="12.75" x14ac:dyDescent="0.2">
      <c r="C443" s="12"/>
      <c r="E443" s="12"/>
    </row>
    <row r="444" spans="3:5" ht="12.75" x14ac:dyDescent="0.2">
      <c r="C444" s="12"/>
      <c r="E444" s="12"/>
    </row>
    <row r="445" spans="3:5" ht="12.75" x14ac:dyDescent="0.2">
      <c r="C445" s="12"/>
      <c r="E445" s="12"/>
    </row>
    <row r="446" spans="3:5" ht="12.75" x14ac:dyDescent="0.2">
      <c r="C446" s="12"/>
      <c r="E446" s="12"/>
    </row>
    <row r="447" spans="3:5" ht="12.75" x14ac:dyDescent="0.2">
      <c r="C447" s="12"/>
      <c r="E447" s="12"/>
    </row>
    <row r="448" spans="3:5" ht="12.75" x14ac:dyDescent="0.2">
      <c r="C448" s="12"/>
      <c r="E448" s="12"/>
    </row>
    <row r="449" spans="3:5" ht="12.75" x14ac:dyDescent="0.2">
      <c r="C449" s="12"/>
      <c r="E449" s="12"/>
    </row>
    <row r="450" spans="3:5" ht="12.75" x14ac:dyDescent="0.2">
      <c r="C450" s="12"/>
      <c r="E450" s="12"/>
    </row>
    <row r="451" spans="3:5" ht="12.75" x14ac:dyDescent="0.2">
      <c r="C451" s="12"/>
      <c r="E451" s="12"/>
    </row>
    <row r="452" spans="3:5" ht="12.75" x14ac:dyDescent="0.2">
      <c r="C452" s="12"/>
      <c r="E452" s="12"/>
    </row>
    <row r="453" spans="3:5" ht="12.75" x14ac:dyDescent="0.2">
      <c r="C453" s="12"/>
      <c r="E453" s="12"/>
    </row>
    <row r="454" spans="3:5" ht="12.75" x14ac:dyDescent="0.2">
      <c r="C454" s="12"/>
      <c r="E454" s="12"/>
    </row>
    <row r="455" spans="3:5" ht="12.75" x14ac:dyDescent="0.2">
      <c r="C455" s="12"/>
      <c r="E455" s="12"/>
    </row>
    <row r="456" spans="3:5" ht="12.75" x14ac:dyDescent="0.2">
      <c r="C456" s="12"/>
      <c r="E456" s="12"/>
    </row>
    <row r="457" spans="3:5" ht="12.75" x14ac:dyDescent="0.2">
      <c r="C457" s="12"/>
      <c r="E457" s="12"/>
    </row>
    <row r="458" spans="3:5" ht="12.75" x14ac:dyDescent="0.2">
      <c r="C458" s="12"/>
      <c r="E458" s="12"/>
    </row>
    <row r="459" spans="3:5" ht="12.75" x14ac:dyDescent="0.2">
      <c r="C459" s="12"/>
      <c r="E459" s="12"/>
    </row>
    <row r="460" spans="3:5" ht="12.75" x14ac:dyDescent="0.2">
      <c r="C460" s="12"/>
      <c r="E460" s="12"/>
    </row>
    <row r="461" spans="3:5" ht="12.75" x14ac:dyDescent="0.2">
      <c r="C461" s="12"/>
      <c r="E461" s="12"/>
    </row>
    <row r="462" spans="3:5" ht="12.75" x14ac:dyDescent="0.2">
      <c r="C462" s="12"/>
      <c r="E462" s="12"/>
    </row>
    <row r="463" spans="3:5" ht="12.75" x14ac:dyDescent="0.2">
      <c r="C463" s="12"/>
      <c r="E463" s="12"/>
    </row>
    <row r="464" spans="3:5" ht="12.75" x14ac:dyDescent="0.2">
      <c r="C464" s="12"/>
      <c r="E464" s="12"/>
    </row>
    <row r="465" spans="3:5" ht="12.75" x14ac:dyDescent="0.2">
      <c r="C465" s="12"/>
      <c r="E465" s="12"/>
    </row>
    <row r="466" spans="3:5" ht="12.75" x14ac:dyDescent="0.2">
      <c r="C466" s="12"/>
      <c r="E466" s="12"/>
    </row>
    <row r="467" spans="3:5" ht="12.75" x14ac:dyDescent="0.2">
      <c r="C467" s="12"/>
      <c r="E467" s="12"/>
    </row>
    <row r="468" spans="3:5" ht="12.75" x14ac:dyDescent="0.2">
      <c r="C468" s="12"/>
      <c r="E468" s="12"/>
    </row>
    <row r="469" spans="3:5" ht="12.75" x14ac:dyDescent="0.2">
      <c r="C469" s="12"/>
      <c r="E469" s="12"/>
    </row>
    <row r="470" spans="3:5" ht="12.75" x14ac:dyDescent="0.2">
      <c r="C470" s="12"/>
      <c r="E470" s="12"/>
    </row>
    <row r="471" spans="3:5" ht="12.75" x14ac:dyDescent="0.2">
      <c r="C471" s="12"/>
      <c r="E471" s="12"/>
    </row>
    <row r="472" spans="3:5" ht="12.75" x14ac:dyDescent="0.2">
      <c r="C472" s="12"/>
      <c r="E472" s="12"/>
    </row>
    <row r="473" spans="3:5" ht="12.75" x14ac:dyDescent="0.2">
      <c r="C473" s="12"/>
      <c r="E473" s="12"/>
    </row>
    <row r="474" spans="3:5" ht="12.75" x14ac:dyDescent="0.2">
      <c r="C474" s="12"/>
      <c r="E474" s="12"/>
    </row>
    <row r="475" spans="3:5" ht="12.75" x14ac:dyDescent="0.2">
      <c r="C475" s="12"/>
      <c r="E475" s="12"/>
    </row>
    <row r="476" spans="3:5" ht="12.75" x14ac:dyDescent="0.2">
      <c r="C476" s="12"/>
      <c r="E476" s="12"/>
    </row>
    <row r="477" spans="3:5" ht="12.75" x14ac:dyDescent="0.2">
      <c r="C477" s="12"/>
      <c r="E477" s="12"/>
    </row>
    <row r="478" spans="3:5" ht="12.75" x14ac:dyDescent="0.2">
      <c r="C478" s="12"/>
      <c r="E478" s="12"/>
    </row>
    <row r="479" spans="3:5" ht="12.75" x14ac:dyDescent="0.2">
      <c r="C479" s="12"/>
      <c r="E479" s="12"/>
    </row>
    <row r="480" spans="3:5" ht="12.75" x14ac:dyDescent="0.2">
      <c r="C480" s="12"/>
      <c r="E480" s="12"/>
    </row>
    <row r="481" spans="3:5" ht="12.75" x14ac:dyDescent="0.2">
      <c r="C481" s="12"/>
      <c r="E481" s="12"/>
    </row>
    <row r="482" spans="3:5" ht="12.75" x14ac:dyDescent="0.2">
      <c r="C482" s="12"/>
      <c r="E482" s="12"/>
    </row>
    <row r="483" spans="3:5" ht="12.75" x14ac:dyDescent="0.2">
      <c r="C483" s="12"/>
      <c r="E483" s="12"/>
    </row>
    <row r="484" spans="3:5" ht="12.75" x14ac:dyDescent="0.2">
      <c r="C484" s="12"/>
      <c r="E484" s="12"/>
    </row>
    <row r="485" spans="3:5" ht="12.75" x14ac:dyDescent="0.2">
      <c r="C485" s="12"/>
      <c r="E485" s="12"/>
    </row>
    <row r="486" spans="3:5" ht="12.75" x14ac:dyDescent="0.2">
      <c r="C486" s="12"/>
      <c r="E486" s="12"/>
    </row>
    <row r="487" spans="3:5" ht="12.75" x14ac:dyDescent="0.2">
      <c r="C487" s="12"/>
      <c r="E487" s="12"/>
    </row>
    <row r="488" spans="3:5" ht="12.75" x14ac:dyDescent="0.2">
      <c r="C488" s="12"/>
      <c r="E488" s="12"/>
    </row>
    <row r="489" spans="3:5" ht="12.75" x14ac:dyDescent="0.2">
      <c r="C489" s="12"/>
      <c r="E489" s="12"/>
    </row>
    <row r="490" spans="3:5" ht="12.75" x14ac:dyDescent="0.2">
      <c r="C490" s="12"/>
      <c r="E490" s="12"/>
    </row>
    <row r="491" spans="3:5" ht="12.75" x14ac:dyDescent="0.2">
      <c r="C491" s="12"/>
      <c r="E491" s="12"/>
    </row>
    <row r="492" spans="3:5" ht="12.75" x14ac:dyDescent="0.2">
      <c r="C492" s="12"/>
      <c r="E492" s="12"/>
    </row>
    <row r="493" spans="3:5" ht="12.75" x14ac:dyDescent="0.2">
      <c r="C493" s="12"/>
      <c r="E493" s="12"/>
    </row>
    <row r="494" spans="3:5" ht="12.75" x14ac:dyDescent="0.2">
      <c r="C494" s="12"/>
      <c r="E494" s="12"/>
    </row>
    <row r="495" spans="3:5" ht="12.75" x14ac:dyDescent="0.2">
      <c r="C495" s="12"/>
      <c r="E495" s="12"/>
    </row>
    <row r="496" spans="3:5" ht="12.75" x14ac:dyDescent="0.2">
      <c r="C496" s="12"/>
      <c r="E496" s="12"/>
    </row>
    <row r="497" spans="3:5" ht="12.75" x14ac:dyDescent="0.2">
      <c r="C497" s="12"/>
      <c r="E497" s="12"/>
    </row>
    <row r="498" spans="3:5" ht="12.75" x14ac:dyDescent="0.2">
      <c r="C498" s="12"/>
      <c r="E498" s="12"/>
    </row>
    <row r="499" spans="3:5" ht="12.75" x14ac:dyDescent="0.2">
      <c r="C499" s="12"/>
      <c r="E499" s="12"/>
    </row>
    <row r="500" spans="3:5" ht="12.75" x14ac:dyDescent="0.2">
      <c r="C500" s="12"/>
      <c r="E500" s="12"/>
    </row>
    <row r="501" spans="3:5" ht="12.75" x14ac:dyDescent="0.2">
      <c r="C501" s="12"/>
      <c r="E501" s="12"/>
    </row>
    <row r="502" spans="3:5" ht="12.75" x14ac:dyDescent="0.2">
      <c r="C502" s="12"/>
      <c r="E502" s="12"/>
    </row>
    <row r="503" spans="3:5" ht="12.75" x14ac:dyDescent="0.2">
      <c r="C503" s="12"/>
      <c r="E503" s="12"/>
    </row>
    <row r="504" spans="3:5" ht="12.75" x14ac:dyDescent="0.2">
      <c r="C504" s="12"/>
      <c r="E504" s="12"/>
    </row>
    <row r="505" spans="3:5" ht="12.75" x14ac:dyDescent="0.2">
      <c r="C505" s="12"/>
      <c r="E505" s="12"/>
    </row>
    <row r="506" spans="3:5" ht="12.75" x14ac:dyDescent="0.2">
      <c r="C506" s="12"/>
      <c r="E506" s="12"/>
    </row>
    <row r="507" spans="3:5" ht="12.75" x14ac:dyDescent="0.2">
      <c r="C507" s="12"/>
      <c r="E507" s="12"/>
    </row>
    <row r="508" spans="3:5" ht="12.75" x14ac:dyDescent="0.2">
      <c r="C508" s="12"/>
      <c r="E508" s="12"/>
    </row>
    <row r="509" spans="3:5" ht="12.75" x14ac:dyDescent="0.2">
      <c r="C509" s="12"/>
      <c r="E509" s="12"/>
    </row>
    <row r="510" spans="3:5" ht="12.75" x14ac:dyDescent="0.2">
      <c r="C510" s="12"/>
      <c r="E510" s="12"/>
    </row>
    <row r="511" spans="3:5" ht="12.75" x14ac:dyDescent="0.2">
      <c r="C511" s="12"/>
      <c r="E511" s="12"/>
    </row>
    <row r="512" spans="3:5" ht="12.75" x14ac:dyDescent="0.2">
      <c r="C512" s="12"/>
      <c r="E512" s="12"/>
    </row>
    <row r="513" spans="3:5" ht="12.75" x14ac:dyDescent="0.2">
      <c r="C513" s="12"/>
      <c r="E513" s="12"/>
    </row>
    <row r="514" spans="3:5" ht="12.75" x14ac:dyDescent="0.2">
      <c r="C514" s="12"/>
      <c r="E514" s="12"/>
    </row>
    <row r="515" spans="3:5" ht="12.75" x14ac:dyDescent="0.2">
      <c r="C515" s="12"/>
      <c r="E515" s="12"/>
    </row>
    <row r="516" spans="3:5" ht="12.75" x14ac:dyDescent="0.2">
      <c r="C516" s="12"/>
      <c r="E516" s="12"/>
    </row>
    <row r="517" spans="3:5" ht="12.75" x14ac:dyDescent="0.2">
      <c r="C517" s="12"/>
      <c r="E517" s="12"/>
    </row>
    <row r="518" spans="3:5" ht="12.75" x14ac:dyDescent="0.2">
      <c r="C518" s="12"/>
      <c r="E518" s="12"/>
    </row>
    <row r="519" spans="3:5" ht="12.75" x14ac:dyDescent="0.2">
      <c r="C519" s="12"/>
      <c r="E519" s="12"/>
    </row>
    <row r="520" spans="3:5" ht="12.75" x14ac:dyDescent="0.2">
      <c r="C520" s="12"/>
      <c r="E520" s="12"/>
    </row>
    <row r="521" spans="3:5" ht="12.75" x14ac:dyDescent="0.2">
      <c r="C521" s="12"/>
      <c r="E521" s="12"/>
    </row>
    <row r="522" spans="3:5" ht="12.75" x14ac:dyDescent="0.2">
      <c r="C522" s="12"/>
      <c r="E522" s="12"/>
    </row>
    <row r="523" spans="3:5" ht="12.75" x14ac:dyDescent="0.2">
      <c r="C523" s="12"/>
      <c r="E523" s="12"/>
    </row>
    <row r="524" spans="3:5" ht="12.75" x14ac:dyDescent="0.2">
      <c r="C524" s="12"/>
      <c r="E524" s="12"/>
    </row>
    <row r="525" spans="3:5" ht="12.75" x14ac:dyDescent="0.2">
      <c r="C525" s="12"/>
      <c r="E525" s="12"/>
    </row>
    <row r="526" spans="3:5" ht="12.75" x14ac:dyDescent="0.2">
      <c r="C526" s="12"/>
      <c r="E526" s="12"/>
    </row>
    <row r="527" spans="3:5" ht="12.75" x14ac:dyDescent="0.2">
      <c r="C527" s="12"/>
      <c r="E527" s="12"/>
    </row>
    <row r="528" spans="3:5" ht="12.75" x14ac:dyDescent="0.2">
      <c r="C528" s="12"/>
      <c r="E528" s="12"/>
    </row>
    <row r="529" spans="3:5" ht="12.75" x14ac:dyDescent="0.2">
      <c r="C529" s="12"/>
      <c r="E529" s="12"/>
    </row>
    <row r="530" spans="3:5" ht="12.75" x14ac:dyDescent="0.2">
      <c r="C530" s="12"/>
      <c r="E530" s="12"/>
    </row>
    <row r="531" spans="3:5" ht="12.75" x14ac:dyDescent="0.2">
      <c r="C531" s="12"/>
      <c r="E531" s="12"/>
    </row>
    <row r="532" spans="3:5" ht="12.75" x14ac:dyDescent="0.2">
      <c r="C532" s="12"/>
      <c r="E532" s="12"/>
    </row>
    <row r="533" spans="3:5" ht="12.75" x14ac:dyDescent="0.2">
      <c r="C533" s="12"/>
      <c r="E533" s="12"/>
    </row>
    <row r="534" spans="3:5" ht="12.75" x14ac:dyDescent="0.2">
      <c r="C534" s="12"/>
      <c r="E534" s="12"/>
    </row>
    <row r="535" spans="3:5" ht="12.75" x14ac:dyDescent="0.2">
      <c r="C535" s="12"/>
      <c r="E535" s="12"/>
    </row>
    <row r="536" spans="3:5" ht="12.75" x14ac:dyDescent="0.2">
      <c r="C536" s="12"/>
      <c r="E536" s="12"/>
    </row>
    <row r="537" spans="3:5" ht="12.75" x14ac:dyDescent="0.2">
      <c r="C537" s="12"/>
      <c r="E537" s="12"/>
    </row>
    <row r="538" spans="3:5" ht="12.75" x14ac:dyDescent="0.2">
      <c r="C538" s="12"/>
      <c r="E538" s="12"/>
    </row>
    <row r="539" spans="3:5" ht="12.75" x14ac:dyDescent="0.2">
      <c r="C539" s="12"/>
      <c r="E539" s="12"/>
    </row>
    <row r="540" spans="3:5" ht="12.75" x14ac:dyDescent="0.2">
      <c r="C540" s="12"/>
      <c r="E540" s="12"/>
    </row>
    <row r="541" spans="3:5" ht="12.75" x14ac:dyDescent="0.2">
      <c r="C541" s="12"/>
      <c r="E541" s="12"/>
    </row>
    <row r="542" spans="3:5" ht="12.75" x14ac:dyDescent="0.2">
      <c r="C542" s="12"/>
      <c r="E542" s="12"/>
    </row>
    <row r="543" spans="3:5" ht="12.75" x14ac:dyDescent="0.2">
      <c r="C543" s="12"/>
      <c r="E543" s="12"/>
    </row>
    <row r="544" spans="3:5" ht="12.75" x14ac:dyDescent="0.2">
      <c r="C544" s="12"/>
      <c r="E544" s="12"/>
    </row>
    <row r="545" spans="3:5" ht="12.75" x14ac:dyDescent="0.2">
      <c r="C545" s="12"/>
      <c r="E545" s="12"/>
    </row>
    <row r="546" spans="3:5" ht="12.75" x14ac:dyDescent="0.2">
      <c r="C546" s="12"/>
      <c r="E546" s="12"/>
    </row>
    <row r="547" spans="3:5" ht="12.75" x14ac:dyDescent="0.2">
      <c r="C547" s="12"/>
      <c r="E547" s="12"/>
    </row>
    <row r="548" spans="3:5" ht="12.75" x14ac:dyDescent="0.2">
      <c r="C548" s="12"/>
      <c r="E548" s="12"/>
    </row>
    <row r="549" spans="3:5" ht="12.75" x14ac:dyDescent="0.2">
      <c r="C549" s="12"/>
      <c r="E549" s="12"/>
    </row>
    <row r="550" spans="3:5" ht="12.75" x14ac:dyDescent="0.2">
      <c r="C550" s="12"/>
      <c r="E550" s="12"/>
    </row>
    <row r="551" spans="3:5" ht="12.75" x14ac:dyDescent="0.2">
      <c r="C551" s="12"/>
      <c r="E551" s="12"/>
    </row>
    <row r="552" spans="3:5" ht="12.75" x14ac:dyDescent="0.2">
      <c r="C552" s="12"/>
      <c r="E552" s="12"/>
    </row>
    <row r="553" spans="3:5" ht="12.75" x14ac:dyDescent="0.2">
      <c r="C553" s="12"/>
      <c r="E553" s="12"/>
    </row>
    <row r="554" spans="3:5" ht="12.75" x14ac:dyDescent="0.2">
      <c r="C554" s="12"/>
      <c r="E554" s="12"/>
    </row>
    <row r="555" spans="3:5" ht="12.75" x14ac:dyDescent="0.2">
      <c r="C555" s="12"/>
      <c r="E555" s="12"/>
    </row>
    <row r="556" spans="3:5" ht="12.75" x14ac:dyDescent="0.2">
      <c r="C556" s="12"/>
      <c r="E556" s="12"/>
    </row>
    <row r="557" spans="3:5" ht="12.75" x14ac:dyDescent="0.2">
      <c r="C557" s="12"/>
      <c r="E557" s="12"/>
    </row>
    <row r="558" spans="3:5" ht="12.75" x14ac:dyDescent="0.2">
      <c r="C558" s="12"/>
      <c r="E558" s="12"/>
    </row>
    <row r="559" spans="3:5" ht="12.75" x14ac:dyDescent="0.2">
      <c r="C559" s="12"/>
      <c r="E559" s="12"/>
    </row>
    <row r="560" spans="3:5" ht="12.75" x14ac:dyDescent="0.2">
      <c r="C560" s="12"/>
      <c r="E560" s="12"/>
    </row>
    <row r="561" spans="3:5" ht="12.75" x14ac:dyDescent="0.2">
      <c r="C561" s="12"/>
      <c r="E561" s="12"/>
    </row>
    <row r="562" spans="3:5" ht="12.75" x14ac:dyDescent="0.2">
      <c r="C562" s="12"/>
      <c r="E562" s="12"/>
    </row>
    <row r="563" spans="3:5" ht="12.75" x14ac:dyDescent="0.2">
      <c r="C563" s="12"/>
      <c r="E563" s="12"/>
    </row>
    <row r="564" spans="3:5" ht="12.75" x14ac:dyDescent="0.2">
      <c r="C564" s="12"/>
      <c r="E564" s="12"/>
    </row>
    <row r="565" spans="3:5" ht="12.75" x14ac:dyDescent="0.2">
      <c r="C565" s="12"/>
      <c r="E565" s="12"/>
    </row>
    <row r="566" spans="3:5" ht="12.75" x14ac:dyDescent="0.2">
      <c r="C566" s="12"/>
      <c r="E566" s="12"/>
    </row>
    <row r="567" spans="3:5" ht="12.75" x14ac:dyDescent="0.2">
      <c r="C567" s="12"/>
      <c r="E567" s="12"/>
    </row>
    <row r="568" spans="3:5" ht="12.75" x14ac:dyDescent="0.2">
      <c r="C568" s="12"/>
      <c r="E568" s="12"/>
    </row>
    <row r="569" spans="3:5" ht="12.75" x14ac:dyDescent="0.2">
      <c r="C569" s="12"/>
      <c r="E569" s="12"/>
    </row>
    <row r="570" spans="3:5" ht="12.75" x14ac:dyDescent="0.2">
      <c r="C570" s="12"/>
      <c r="E570" s="12"/>
    </row>
    <row r="571" spans="3:5" ht="12.75" x14ac:dyDescent="0.2">
      <c r="C571" s="12"/>
      <c r="E571" s="12"/>
    </row>
    <row r="572" spans="3:5" ht="12.75" x14ac:dyDescent="0.2">
      <c r="C572" s="12"/>
      <c r="E572" s="12"/>
    </row>
    <row r="573" spans="3:5" ht="12.75" x14ac:dyDescent="0.2">
      <c r="C573" s="12"/>
      <c r="E573" s="12"/>
    </row>
    <row r="574" spans="3:5" ht="12.75" x14ac:dyDescent="0.2">
      <c r="C574" s="12"/>
      <c r="E574" s="12"/>
    </row>
    <row r="575" spans="3:5" ht="12.75" x14ac:dyDescent="0.2">
      <c r="C575" s="12"/>
      <c r="E575" s="12"/>
    </row>
    <row r="576" spans="3:5" ht="12.75" x14ac:dyDescent="0.2">
      <c r="C576" s="12"/>
      <c r="E576" s="12"/>
    </row>
    <row r="577" spans="3:5" ht="12.75" x14ac:dyDescent="0.2">
      <c r="C577" s="12"/>
      <c r="E577" s="12"/>
    </row>
    <row r="578" spans="3:5" ht="12.75" x14ac:dyDescent="0.2">
      <c r="C578" s="12"/>
      <c r="E578" s="12"/>
    </row>
    <row r="579" spans="3:5" ht="12.75" x14ac:dyDescent="0.2">
      <c r="C579" s="12"/>
      <c r="E579" s="12"/>
    </row>
    <row r="580" spans="3:5" ht="12.75" x14ac:dyDescent="0.2">
      <c r="C580" s="12"/>
      <c r="E580" s="12"/>
    </row>
    <row r="581" spans="3:5" ht="12.75" x14ac:dyDescent="0.2">
      <c r="C581" s="12"/>
      <c r="E581" s="12"/>
    </row>
    <row r="582" spans="3:5" ht="12.75" x14ac:dyDescent="0.2">
      <c r="C582" s="12"/>
      <c r="E582" s="12"/>
    </row>
    <row r="583" spans="3:5" ht="12.75" x14ac:dyDescent="0.2">
      <c r="C583" s="12"/>
      <c r="E583" s="12"/>
    </row>
    <row r="584" spans="3:5" ht="12.75" x14ac:dyDescent="0.2">
      <c r="C584" s="12"/>
      <c r="E584" s="12"/>
    </row>
    <row r="585" spans="3:5" ht="12.75" x14ac:dyDescent="0.2">
      <c r="C585" s="12"/>
      <c r="E585" s="12"/>
    </row>
    <row r="586" spans="3:5" ht="12.75" x14ac:dyDescent="0.2">
      <c r="C586" s="12"/>
      <c r="E586" s="12"/>
    </row>
    <row r="587" spans="3:5" ht="12.75" x14ac:dyDescent="0.2">
      <c r="C587" s="12"/>
      <c r="E587" s="12"/>
    </row>
    <row r="588" spans="3:5" ht="12.75" x14ac:dyDescent="0.2">
      <c r="C588" s="12"/>
      <c r="E588" s="12"/>
    </row>
    <row r="589" spans="3:5" ht="12.75" x14ac:dyDescent="0.2">
      <c r="C589" s="12"/>
      <c r="E589" s="12"/>
    </row>
    <row r="590" spans="3:5" ht="12.75" x14ac:dyDescent="0.2">
      <c r="C590" s="12"/>
      <c r="E590" s="12"/>
    </row>
    <row r="591" spans="3:5" ht="12.75" x14ac:dyDescent="0.2">
      <c r="C591" s="12"/>
      <c r="E591" s="12"/>
    </row>
    <row r="592" spans="3:5" ht="12.75" x14ac:dyDescent="0.2">
      <c r="C592" s="12"/>
      <c r="E592" s="12"/>
    </row>
    <row r="593" spans="3:5" ht="12.75" x14ac:dyDescent="0.2">
      <c r="C593" s="12"/>
      <c r="E593" s="12"/>
    </row>
    <row r="594" spans="3:5" ht="12.75" x14ac:dyDescent="0.2">
      <c r="C594" s="12"/>
      <c r="E594" s="12"/>
    </row>
    <row r="595" spans="3:5" ht="12.75" x14ac:dyDescent="0.2">
      <c r="C595" s="12"/>
      <c r="E595" s="12"/>
    </row>
    <row r="596" spans="3:5" ht="12.75" x14ac:dyDescent="0.2">
      <c r="C596" s="12"/>
      <c r="E596" s="12"/>
    </row>
    <row r="597" spans="3:5" ht="12.75" x14ac:dyDescent="0.2">
      <c r="C597" s="12"/>
      <c r="E597" s="12"/>
    </row>
    <row r="598" spans="3:5" ht="12.75" x14ac:dyDescent="0.2">
      <c r="C598" s="12"/>
      <c r="E598" s="12"/>
    </row>
    <row r="599" spans="3:5" ht="12.75" x14ac:dyDescent="0.2">
      <c r="C599" s="12"/>
      <c r="E599" s="12"/>
    </row>
    <row r="600" spans="3:5" ht="12.75" x14ac:dyDescent="0.2">
      <c r="C600" s="12"/>
      <c r="E600" s="12"/>
    </row>
    <row r="601" spans="3:5" ht="12.75" x14ac:dyDescent="0.2">
      <c r="C601" s="12"/>
      <c r="E601" s="12"/>
    </row>
    <row r="602" spans="3:5" ht="12.75" x14ac:dyDescent="0.2">
      <c r="C602" s="12"/>
      <c r="E602" s="12"/>
    </row>
    <row r="603" spans="3:5" ht="12.75" x14ac:dyDescent="0.2">
      <c r="C603" s="12"/>
      <c r="E603" s="12"/>
    </row>
    <row r="604" spans="3:5" ht="12.75" x14ac:dyDescent="0.2">
      <c r="C604" s="12"/>
      <c r="E604" s="12"/>
    </row>
    <row r="605" spans="3:5" ht="12.75" x14ac:dyDescent="0.2">
      <c r="C605" s="12"/>
      <c r="E605" s="12"/>
    </row>
    <row r="606" spans="3:5" ht="12.75" x14ac:dyDescent="0.2">
      <c r="C606" s="12"/>
      <c r="E606" s="12"/>
    </row>
    <row r="607" spans="3:5" ht="12.75" x14ac:dyDescent="0.2">
      <c r="C607" s="12"/>
      <c r="E607" s="12"/>
    </row>
    <row r="608" spans="3:5" ht="12.75" x14ac:dyDescent="0.2">
      <c r="C608" s="12"/>
      <c r="E608" s="12"/>
    </row>
    <row r="609" spans="3:5" ht="12.75" x14ac:dyDescent="0.2">
      <c r="C609" s="12"/>
      <c r="E609" s="12"/>
    </row>
    <row r="610" spans="3:5" ht="12.75" x14ac:dyDescent="0.2">
      <c r="C610" s="12"/>
      <c r="E610" s="12"/>
    </row>
    <row r="611" spans="3:5" ht="12.75" x14ac:dyDescent="0.2">
      <c r="C611" s="12"/>
      <c r="E611" s="12"/>
    </row>
    <row r="612" spans="3:5" ht="12.75" x14ac:dyDescent="0.2">
      <c r="C612" s="12"/>
      <c r="E612" s="12"/>
    </row>
    <row r="613" spans="3:5" ht="12.75" x14ac:dyDescent="0.2">
      <c r="C613" s="12"/>
      <c r="E613" s="12"/>
    </row>
    <row r="614" spans="3:5" ht="12.75" x14ac:dyDescent="0.2">
      <c r="C614" s="12"/>
      <c r="E614" s="12"/>
    </row>
    <row r="615" spans="3:5" ht="12.75" x14ac:dyDescent="0.2">
      <c r="C615" s="12"/>
      <c r="E615" s="12"/>
    </row>
    <row r="616" spans="3:5" ht="12.75" x14ac:dyDescent="0.2">
      <c r="C616" s="12"/>
      <c r="E616" s="12"/>
    </row>
    <row r="617" spans="3:5" ht="12.75" x14ac:dyDescent="0.2">
      <c r="C617" s="12"/>
      <c r="E617" s="12"/>
    </row>
    <row r="618" spans="3:5" ht="12.75" x14ac:dyDescent="0.2">
      <c r="C618" s="12"/>
      <c r="E618" s="12"/>
    </row>
    <row r="619" spans="3:5" ht="12.75" x14ac:dyDescent="0.2">
      <c r="C619" s="12"/>
      <c r="E619" s="12"/>
    </row>
    <row r="620" spans="3:5" ht="12.75" x14ac:dyDescent="0.2">
      <c r="C620" s="12"/>
      <c r="E620" s="12"/>
    </row>
    <row r="621" spans="3:5" ht="12.75" x14ac:dyDescent="0.2">
      <c r="C621" s="12"/>
      <c r="E621" s="12"/>
    </row>
    <row r="622" spans="3:5" ht="12.75" x14ac:dyDescent="0.2">
      <c r="C622" s="12"/>
      <c r="E622" s="12"/>
    </row>
    <row r="623" spans="3:5" ht="12.75" x14ac:dyDescent="0.2">
      <c r="C623" s="12"/>
      <c r="E623" s="12"/>
    </row>
    <row r="624" spans="3:5" ht="12.75" x14ac:dyDescent="0.2">
      <c r="C624" s="12"/>
      <c r="E624" s="12"/>
    </row>
    <row r="625" spans="3:5" ht="12.75" x14ac:dyDescent="0.2">
      <c r="C625" s="12"/>
      <c r="E625" s="12"/>
    </row>
    <row r="626" spans="3:5" ht="12.75" x14ac:dyDescent="0.2">
      <c r="C626" s="12"/>
      <c r="E626" s="12"/>
    </row>
    <row r="627" spans="3:5" ht="12.75" x14ac:dyDescent="0.2">
      <c r="C627" s="12"/>
      <c r="E627" s="12"/>
    </row>
    <row r="628" spans="3:5" ht="12.75" x14ac:dyDescent="0.2">
      <c r="C628" s="12"/>
      <c r="E628" s="12"/>
    </row>
    <row r="629" spans="3:5" ht="12.75" x14ac:dyDescent="0.2">
      <c r="C629" s="12"/>
      <c r="E629" s="12"/>
    </row>
    <row r="630" spans="3:5" ht="12.75" x14ac:dyDescent="0.2">
      <c r="C630" s="12"/>
      <c r="E630" s="12"/>
    </row>
    <row r="631" spans="3:5" ht="12.75" x14ac:dyDescent="0.2">
      <c r="C631" s="12"/>
      <c r="E631" s="12"/>
    </row>
    <row r="632" spans="3:5" ht="12.75" x14ac:dyDescent="0.2">
      <c r="C632" s="12"/>
      <c r="E632" s="12"/>
    </row>
    <row r="633" spans="3:5" ht="12.75" x14ac:dyDescent="0.2">
      <c r="C633" s="12"/>
      <c r="E633" s="12"/>
    </row>
    <row r="634" spans="3:5" ht="12.75" x14ac:dyDescent="0.2">
      <c r="C634" s="12"/>
      <c r="E634" s="12"/>
    </row>
    <row r="635" spans="3:5" ht="12.75" x14ac:dyDescent="0.2">
      <c r="C635" s="12"/>
      <c r="E635" s="12"/>
    </row>
    <row r="636" spans="3:5" ht="12.75" x14ac:dyDescent="0.2">
      <c r="C636" s="12"/>
      <c r="E636" s="12"/>
    </row>
    <row r="637" spans="3:5" ht="12.75" x14ac:dyDescent="0.2">
      <c r="C637" s="12"/>
      <c r="E637" s="12"/>
    </row>
    <row r="638" spans="3:5" ht="12.75" x14ac:dyDescent="0.2">
      <c r="C638" s="12"/>
      <c r="E638" s="12"/>
    </row>
    <row r="639" spans="3:5" ht="12.75" x14ac:dyDescent="0.2">
      <c r="C639" s="12"/>
      <c r="E639" s="12"/>
    </row>
    <row r="640" spans="3:5" ht="12.75" x14ac:dyDescent="0.2">
      <c r="C640" s="12"/>
      <c r="E640" s="12"/>
    </row>
    <row r="641" spans="3:5" ht="12.75" x14ac:dyDescent="0.2">
      <c r="C641" s="12"/>
      <c r="E641" s="12"/>
    </row>
    <row r="642" spans="3:5" ht="12.75" x14ac:dyDescent="0.2">
      <c r="C642" s="12"/>
      <c r="E642" s="12"/>
    </row>
    <row r="643" spans="3:5" ht="12.75" x14ac:dyDescent="0.2">
      <c r="C643" s="12"/>
      <c r="E643" s="12"/>
    </row>
    <row r="644" spans="3:5" ht="12.75" x14ac:dyDescent="0.2">
      <c r="C644" s="12"/>
      <c r="E644" s="12"/>
    </row>
    <row r="645" spans="3:5" ht="12.75" x14ac:dyDescent="0.2">
      <c r="C645" s="12"/>
      <c r="E645" s="12"/>
    </row>
    <row r="646" spans="3:5" ht="12.75" x14ac:dyDescent="0.2">
      <c r="C646" s="12"/>
      <c r="E646" s="12"/>
    </row>
    <row r="647" spans="3:5" ht="12.75" x14ac:dyDescent="0.2">
      <c r="C647" s="12"/>
      <c r="E647" s="12"/>
    </row>
    <row r="648" spans="3:5" ht="12.75" x14ac:dyDescent="0.2">
      <c r="C648" s="12"/>
      <c r="E648" s="12"/>
    </row>
    <row r="649" spans="3:5" ht="12.75" x14ac:dyDescent="0.2">
      <c r="C649" s="12"/>
      <c r="E649" s="12"/>
    </row>
    <row r="650" spans="3:5" ht="12.75" x14ac:dyDescent="0.2">
      <c r="C650" s="12"/>
      <c r="E650" s="12"/>
    </row>
    <row r="651" spans="3:5" ht="12.75" x14ac:dyDescent="0.2">
      <c r="C651" s="12"/>
      <c r="E651" s="12"/>
    </row>
    <row r="652" spans="3:5" ht="12.75" x14ac:dyDescent="0.2">
      <c r="C652" s="12"/>
      <c r="E652" s="12"/>
    </row>
    <row r="653" spans="3:5" ht="12.75" x14ac:dyDescent="0.2">
      <c r="C653" s="12"/>
      <c r="E653" s="12"/>
    </row>
    <row r="654" spans="3:5" ht="12.75" x14ac:dyDescent="0.2">
      <c r="C654" s="12"/>
      <c r="E654" s="12"/>
    </row>
    <row r="655" spans="3:5" ht="12.75" x14ac:dyDescent="0.2">
      <c r="C655" s="12"/>
      <c r="E655" s="12"/>
    </row>
    <row r="656" spans="3:5" ht="12.75" x14ac:dyDescent="0.2">
      <c r="C656" s="12"/>
      <c r="E656" s="12"/>
    </row>
    <row r="657" spans="3:5" ht="12.75" x14ac:dyDescent="0.2">
      <c r="C657" s="12"/>
      <c r="E657" s="12"/>
    </row>
    <row r="658" spans="3:5" ht="12.75" x14ac:dyDescent="0.2">
      <c r="C658" s="12"/>
      <c r="E658" s="12"/>
    </row>
    <row r="659" spans="3:5" ht="12.75" x14ac:dyDescent="0.2">
      <c r="C659" s="12"/>
      <c r="E659" s="12"/>
    </row>
    <row r="660" spans="3:5" ht="12.75" x14ac:dyDescent="0.2">
      <c r="C660" s="12"/>
      <c r="E660" s="12"/>
    </row>
    <row r="661" spans="3:5" ht="12.75" x14ac:dyDescent="0.2">
      <c r="C661" s="12"/>
      <c r="E661" s="12"/>
    </row>
    <row r="662" spans="3:5" ht="12.75" x14ac:dyDescent="0.2">
      <c r="C662" s="12"/>
      <c r="E662" s="12"/>
    </row>
    <row r="663" spans="3:5" ht="12.75" x14ac:dyDescent="0.2">
      <c r="C663" s="12"/>
      <c r="E663" s="12"/>
    </row>
    <row r="664" spans="3:5" ht="12.75" x14ac:dyDescent="0.2">
      <c r="C664" s="12"/>
      <c r="E664" s="12"/>
    </row>
    <row r="665" spans="3:5" ht="12.75" x14ac:dyDescent="0.2">
      <c r="C665" s="12"/>
      <c r="E665" s="12"/>
    </row>
    <row r="666" spans="3:5" ht="12.75" x14ac:dyDescent="0.2">
      <c r="C666" s="12"/>
      <c r="E666" s="12"/>
    </row>
    <row r="667" spans="3:5" ht="12.75" x14ac:dyDescent="0.2">
      <c r="C667" s="12"/>
      <c r="E667" s="12"/>
    </row>
    <row r="668" spans="3:5" ht="12.75" x14ac:dyDescent="0.2">
      <c r="C668" s="12"/>
      <c r="E668" s="12"/>
    </row>
    <row r="669" spans="3:5" ht="12.75" x14ac:dyDescent="0.2">
      <c r="C669" s="12"/>
      <c r="E669" s="12"/>
    </row>
    <row r="670" spans="3:5" ht="12.75" x14ac:dyDescent="0.2">
      <c r="C670" s="12"/>
      <c r="E670" s="12"/>
    </row>
    <row r="671" spans="3:5" ht="12.75" x14ac:dyDescent="0.2">
      <c r="C671" s="12"/>
      <c r="E671" s="12"/>
    </row>
    <row r="672" spans="3:5" ht="12.75" x14ac:dyDescent="0.2">
      <c r="C672" s="12"/>
      <c r="E672" s="12"/>
    </row>
    <row r="673" spans="3:5" ht="12.75" x14ac:dyDescent="0.2">
      <c r="C673" s="12"/>
      <c r="E673" s="12"/>
    </row>
    <row r="674" spans="3:5" ht="12.75" x14ac:dyDescent="0.2">
      <c r="C674" s="12"/>
      <c r="E674" s="12"/>
    </row>
    <row r="675" spans="3:5" ht="12.75" x14ac:dyDescent="0.2">
      <c r="C675" s="12"/>
      <c r="E675" s="12"/>
    </row>
    <row r="676" spans="3:5" ht="12.75" x14ac:dyDescent="0.2">
      <c r="C676" s="12"/>
      <c r="E676" s="12"/>
    </row>
    <row r="677" spans="3:5" ht="12.75" x14ac:dyDescent="0.2">
      <c r="C677" s="12"/>
      <c r="E677" s="12"/>
    </row>
    <row r="678" spans="3:5" ht="12.75" x14ac:dyDescent="0.2">
      <c r="C678" s="12"/>
      <c r="E678" s="12"/>
    </row>
    <row r="679" spans="3:5" ht="12.75" x14ac:dyDescent="0.2">
      <c r="C679" s="12"/>
      <c r="E679" s="12"/>
    </row>
    <row r="680" spans="3:5" ht="12.75" x14ac:dyDescent="0.2">
      <c r="C680" s="12"/>
      <c r="E680" s="12"/>
    </row>
    <row r="681" spans="3:5" ht="12.75" x14ac:dyDescent="0.2">
      <c r="C681" s="12"/>
      <c r="E681" s="12"/>
    </row>
    <row r="682" spans="3:5" ht="12.75" x14ac:dyDescent="0.2">
      <c r="C682" s="12"/>
      <c r="E682" s="12"/>
    </row>
    <row r="683" spans="3:5" ht="12.75" x14ac:dyDescent="0.2">
      <c r="C683" s="12"/>
      <c r="E683" s="12"/>
    </row>
    <row r="684" spans="3:5" ht="12.75" x14ac:dyDescent="0.2">
      <c r="C684" s="12"/>
      <c r="E684" s="12"/>
    </row>
    <row r="685" spans="3:5" ht="12.75" x14ac:dyDescent="0.2">
      <c r="C685" s="12"/>
      <c r="E685" s="12"/>
    </row>
    <row r="686" spans="3:5" ht="12.75" x14ac:dyDescent="0.2">
      <c r="C686" s="12"/>
      <c r="E686" s="12"/>
    </row>
    <row r="687" spans="3:5" ht="12.75" x14ac:dyDescent="0.2">
      <c r="C687" s="12"/>
      <c r="E687" s="12"/>
    </row>
    <row r="688" spans="3:5" ht="12.75" x14ac:dyDescent="0.2">
      <c r="C688" s="12"/>
      <c r="E688" s="12"/>
    </row>
    <row r="689" spans="3:5" ht="12.75" x14ac:dyDescent="0.2">
      <c r="C689" s="12"/>
      <c r="E689" s="12"/>
    </row>
    <row r="690" spans="3:5" ht="12.75" x14ac:dyDescent="0.2">
      <c r="C690" s="12"/>
      <c r="E690" s="12"/>
    </row>
    <row r="691" spans="3:5" ht="12.75" x14ac:dyDescent="0.2">
      <c r="C691" s="12"/>
      <c r="E691" s="12"/>
    </row>
    <row r="692" spans="3:5" ht="12.75" x14ac:dyDescent="0.2">
      <c r="C692" s="12"/>
      <c r="E692" s="12"/>
    </row>
    <row r="693" spans="3:5" ht="12.75" x14ac:dyDescent="0.2">
      <c r="C693" s="12"/>
      <c r="E693" s="12"/>
    </row>
    <row r="694" spans="3:5" ht="12.75" x14ac:dyDescent="0.2">
      <c r="C694" s="12"/>
      <c r="E694" s="12"/>
    </row>
    <row r="695" spans="3:5" ht="12.75" x14ac:dyDescent="0.2">
      <c r="C695" s="12"/>
      <c r="E695" s="12"/>
    </row>
    <row r="696" spans="3:5" ht="12.75" x14ac:dyDescent="0.2">
      <c r="C696" s="12"/>
      <c r="E696" s="12"/>
    </row>
    <row r="697" spans="3:5" ht="12.75" x14ac:dyDescent="0.2">
      <c r="C697" s="12"/>
      <c r="E697" s="12"/>
    </row>
    <row r="698" spans="3:5" ht="12.75" x14ac:dyDescent="0.2">
      <c r="C698" s="12"/>
      <c r="E698" s="12"/>
    </row>
    <row r="699" spans="3:5" ht="12.75" x14ac:dyDescent="0.2">
      <c r="C699" s="12"/>
      <c r="E699" s="12"/>
    </row>
    <row r="700" spans="3:5" ht="12.75" x14ac:dyDescent="0.2">
      <c r="C700" s="12"/>
      <c r="E700" s="12"/>
    </row>
    <row r="701" spans="3:5" ht="12.75" x14ac:dyDescent="0.2">
      <c r="C701" s="12"/>
      <c r="E701" s="12"/>
    </row>
    <row r="702" spans="3:5" ht="12.75" x14ac:dyDescent="0.2">
      <c r="C702" s="12"/>
      <c r="E702" s="12"/>
    </row>
    <row r="703" spans="3:5" ht="12.75" x14ac:dyDescent="0.2">
      <c r="C703" s="12"/>
      <c r="E703" s="12"/>
    </row>
    <row r="704" spans="3:5" ht="12.75" x14ac:dyDescent="0.2">
      <c r="C704" s="12"/>
      <c r="E704" s="12"/>
    </row>
    <row r="705" spans="3:5" ht="12.75" x14ac:dyDescent="0.2">
      <c r="C705" s="12"/>
      <c r="E705" s="12"/>
    </row>
    <row r="706" spans="3:5" ht="12.75" x14ac:dyDescent="0.2">
      <c r="C706" s="12"/>
      <c r="E706" s="12"/>
    </row>
    <row r="707" spans="3:5" ht="12.75" x14ac:dyDescent="0.2">
      <c r="C707" s="12"/>
      <c r="E707" s="12"/>
    </row>
    <row r="708" spans="3:5" ht="12.75" x14ac:dyDescent="0.2">
      <c r="C708" s="12"/>
      <c r="E708" s="12"/>
    </row>
    <row r="709" spans="3:5" ht="12.75" x14ac:dyDescent="0.2">
      <c r="C709" s="12"/>
      <c r="E709" s="12"/>
    </row>
    <row r="710" spans="3:5" ht="12.75" x14ac:dyDescent="0.2">
      <c r="C710" s="12"/>
      <c r="E710" s="12"/>
    </row>
    <row r="711" spans="3:5" ht="12.75" x14ac:dyDescent="0.2">
      <c r="C711" s="12"/>
      <c r="E711" s="12"/>
    </row>
    <row r="712" spans="3:5" ht="12.75" x14ac:dyDescent="0.2">
      <c r="C712" s="12"/>
      <c r="E712" s="12"/>
    </row>
    <row r="713" spans="3:5" ht="12.75" x14ac:dyDescent="0.2">
      <c r="C713" s="12"/>
      <c r="E713" s="12"/>
    </row>
    <row r="714" spans="3:5" ht="12.75" x14ac:dyDescent="0.2">
      <c r="C714" s="12"/>
      <c r="E714" s="12"/>
    </row>
    <row r="715" spans="3:5" ht="12.75" x14ac:dyDescent="0.2">
      <c r="C715" s="12"/>
      <c r="E715" s="12"/>
    </row>
    <row r="716" spans="3:5" ht="12.75" x14ac:dyDescent="0.2">
      <c r="C716" s="12"/>
      <c r="E716" s="12"/>
    </row>
    <row r="717" spans="3:5" ht="12.75" x14ac:dyDescent="0.2">
      <c r="C717" s="12"/>
      <c r="E717" s="12"/>
    </row>
    <row r="718" spans="3:5" ht="12.75" x14ac:dyDescent="0.2">
      <c r="C718" s="12"/>
      <c r="E718" s="12"/>
    </row>
    <row r="719" spans="3:5" ht="12.75" x14ac:dyDescent="0.2">
      <c r="C719" s="12"/>
      <c r="E719" s="12"/>
    </row>
    <row r="720" spans="3:5" ht="12.75" x14ac:dyDescent="0.2">
      <c r="C720" s="12"/>
      <c r="E720" s="12"/>
    </row>
    <row r="721" spans="3:5" ht="12.75" x14ac:dyDescent="0.2">
      <c r="C721" s="12"/>
      <c r="E721" s="12"/>
    </row>
    <row r="722" spans="3:5" ht="12.75" x14ac:dyDescent="0.2">
      <c r="C722" s="12"/>
      <c r="E722" s="12"/>
    </row>
    <row r="723" spans="3:5" ht="12.75" x14ac:dyDescent="0.2">
      <c r="C723" s="12"/>
      <c r="E723" s="12"/>
    </row>
    <row r="724" spans="3:5" ht="12.75" x14ac:dyDescent="0.2">
      <c r="C724" s="12"/>
      <c r="E724" s="12"/>
    </row>
    <row r="725" spans="3:5" ht="12.75" x14ac:dyDescent="0.2">
      <c r="C725" s="12"/>
      <c r="E725" s="12"/>
    </row>
    <row r="726" spans="3:5" ht="12.75" x14ac:dyDescent="0.2">
      <c r="C726" s="12"/>
      <c r="E726" s="12"/>
    </row>
    <row r="727" spans="3:5" ht="12.75" x14ac:dyDescent="0.2">
      <c r="C727" s="12"/>
      <c r="E727" s="12"/>
    </row>
    <row r="728" spans="3:5" ht="12.75" x14ac:dyDescent="0.2">
      <c r="C728" s="12"/>
      <c r="E728" s="12"/>
    </row>
    <row r="729" spans="3:5" ht="12.75" x14ac:dyDescent="0.2">
      <c r="C729" s="12"/>
      <c r="E729" s="12"/>
    </row>
    <row r="730" spans="3:5" ht="12.75" x14ac:dyDescent="0.2">
      <c r="C730" s="12"/>
      <c r="E730" s="12"/>
    </row>
    <row r="731" spans="3:5" ht="12.75" x14ac:dyDescent="0.2">
      <c r="C731" s="12"/>
      <c r="E731" s="12"/>
    </row>
    <row r="732" spans="3:5" ht="12.75" x14ac:dyDescent="0.2">
      <c r="C732" s="12"/>
      <c r="E732" s="12"/>
    </row>
    <row r="733" spans="3:5" ht="12.75" x14ac:dyDescent="0.2">
      <c r="C733" s="12"/>
      <c r="E733" s="12"/>
    </row>
    <row r="734" spans="3:5" ht="12.75" x14ac:dyDescent="0.2">
      <c r="C734" s="12"/>
      <c r="E734" s="12"/>
    </row>
    <row r="735" spans="3:5" ht="12.75" x14ac:dyDescent="0.2">
      <c r="C735" s="12"/>
      <c r="E735" s="12"/>
    </row>
    <row r="736" spans="3:5" ht="12.75" x14ac:dyDescent="0.2">
      <c r="C736" s="12"/>
      <c r="E736" s="12"/>
    </row>
    <row r="737" spans="3:5" ht="12.75" x14ac:dyDescent="0.2">
      <c r="C737" s="12"/>
      <c r="E737" s="12"/>
    </row>
    <row r="738" spans="3:5" ht="12.75" x14ac:dyDescent="0.2">
      <c r="C738" s="12"/>
      <c r="E738" s="12"/>
    </row>
    <row r="739" spans="3:5" ht="12.75" x14ac:dyDescent="0.2">
      <c r="C739" s="12"/>
      <c r="E739" s="12"/>
    </row>
    <row r="740" spans="3:5" ht="12.75" x14ac:dyDescent="0.2">
      <c r="C740" s="12"/>
      <c r="E740" s="12"/>
    </row>
    <row r="741" spans="3:5" ht="12.75" x14ac:dyDescent="0.2">
      <c r="C741" s="12"/>
      <c r="E741" s="12"/>
    </row>
    <row r="742" spans="3:5" ht="12.75" x14ac:dyDescent="0.2">
      <c r="C742" s="12"/>
      <c r="E742" s="12"/>
    </row>
    <row r="743" spans="3:5" ht="12.75" x14ac:dyDescent="0.2">
      <c r="C743" s="12"/>
      <c r="E743" s="12"/>
    </row>
    <row r="744" spans="3:5" ht="12.75" x14ac:dyDescent="0.2">
      <c r="C744" s="12"/>
      <c r="E744" s="12"/>
    </row>
    <row r="745" spans="3:5" ht="12.75" x14ac:dyDescent="0.2">
      <c r="C745" s="12"/>
      <c r="E745" s="12"/>
    </row>
    <row r="746" spans="3:5" ht="12.75" x14ac:dyDescent="0.2">
      <c r="C746" s="12"/>
      <c r="E746" s="12"/>
    </row>
    <row r="747" spans="3:5" ht="12.75" x14ac:dyDescent="0.2">
      <c r="C747" s="12"/>
      <c r="E747" s="12"/>
    </row>
    <row r="748" spans="3:5" ht="12.75" x14ac:dyDescent="0.2">
      <c r="C748" s="12"/>
      <c r="E748" s="12"/>
    </row>
    <row r="749" spans="3:5" ht="12.75" x14ac:dyDescent="0.2">
      <c r="C749" s="12"/>
      <c r="E749" s="12"/>
    </row>
    <row r="750" spans="3:5" ht="12.75" x14ac:dyDescent="0.2">
      <c r="C750" s="12"/>
      <c r="E750" s="12"/>
    </row>
    <row r="751" spans="3:5" ht="12.75" x14ac:dyDescent="0.2">
      <c r="C751" s="12"/>
      <c r="E751" s="12"/>
    </row>
    <row r="752" spans="3:5" ht="12.75" x14ac:dyDescent="0.2">
      <c r="C752" s="12"/>
      <c r="E752" s="12"/>
    </row>
    <row r="753" spans="3:5" ht="12.75" x14ac:dyDescent="0.2">
      <c r="C753" s="12"/>
      <c r="E753" s="12"/>
    </row>
    <row r="754" spans="3:5" ht="12.75" x14ac:dyDescent="0.2">
      <c r="C754" s="12"/>
      <c r="E754" s="12"/>
    </row>
    <row r="755" spans="3:5" ht="12.75" x14ac:dyDescent="0.2">
      <c r="C755" s="12"/>
      <c r="E755" s="12"/>
    </row>
    <row r="756" spans="3:5" ht="12.75" x14ac:dyDescent="0.2">
      <c r="C756" s="12"/>
      <c r="E756" s="12"/>
    </row>
    <row r="757" spans="3:5" ht="12.75" x14ac:dyDescent="0.2">
      <c r="C757" s="12"/>
      <c r="E757" s="12"/>
    </row>
    <row r="758" spans="3:5" ht="12.75" x14ac:dyDescent="0.2">
      <c r="C758" s="12"/>
      <c r="E758" s="12"/>
    </row>
    <row r="759" spans="3:5" ht="12.75" x14ac:dyDescent="0.2">
      <c r="C759" s="12"/>
      <c r="E759" s="12"/>
    </row>
    <row r="760" spans="3:5" ht="12.75" x14ac:dyDescent="0.2">
      <c r="C760" s="12"/>
      <c r="E760" s="12"/>
    </row>
    <row r="761" spans="3:5" ht="12.75" x14ac:dyDescent="0.2">
      <c r="C761" s="12"/>
      <c r="E761" s="12"/>
    </row>
    <row r="762" spans="3:5" ht="12.75" x14ac:dyDescent="0.2">
      <c r="C762" s="12"/>
      <c r="E762" s="12"/>
    </row>
    <row r="763" spans="3:5" ht="12.75" x14ac:dyDescent="0.2">
      <c r="C763" s="12"/>
      <c r="E763" s="12"/>
    </row>
    <row r="764" spans="3:5" ht="12.75" x14ac:dyDescent="0.2">
      <c r="C764" s="12"/>
      <c r="E764" s="12"/>
    </row>
    <row r="765" spans="3:5" ht="12.75" x14ac:dyDescent="0.2">
      <c r="C765" s="12"/>
      <c r="E765" s="12"/>
    </row>
    <row r="766" spans="3:5" ht="12.75" x14ac:dyDescent="0.2">
      <c r="C766" s="12"/>
      <c r="E766" s="12"/>
    </row>
    <row r="767" spans="3:5" ht="12.75" x14ac:dyDescent="0.2">
      <c r="C767" s="12"/>
      <c r="E767" s="12"/>
    </row>
    <row r="768" spans="3:5" ht="12.75" x14ac:dyDescent="0.2">
      <c r="C768" s="12"/>
      <c r="E768" s="12"/>
    </row>
    <row r="769" spans="3:5" ht="12.75" x14ac:dyDescent="0.2">
      <c r="C769" s="12"/>
      <c r="E769" s="12"/>
    </row>
    <row r="770" spans="3:5" ht="12.75" x14ac:dyDescent="0.2">
      <c r="C770" s="12"/>
      <c r="E770" s="12"/>
    </row>
    <row r="771" spans="3:5" ht="12.75" x14ac:dyDescent="0.2">
      <c r="C771" s="12"/>
      <c r="E771" s="12"/>
    </row>
    <row r="772" spans="3:5" ht="12.75" x14ac:dyDescent="0.2">
      <c r="C772" s="12"/>
      <c r="E772" s="12"/>
    </row>
    <row r="773" spans="3:5" ht="12.75" x14ac:dyDescent="0.2">
      <c r="C773" s="12"/>
      <c r="E773" s="12"/>
    </row>
    <row r="774" spans="3:5" ht="12.75" x14ac:dyDescent="0.2">
      <c r="C774" s="12"/>
      <c r="E774" s="12"/>
    </row>
    <row r="775" spans="3:5" ht="12.75" x14ac:dyDescent="0.2">
      <c r="C775" s="12"/>
      <c r="E775" s="12"/>
    </row>
    <row r="776" spans="3:5" ht="12.75" x14ac:dyDescent="0.2">
      <c r="C776" s="12"/>
      <c r="E776" s="12"/>
    </row>
    <row r="777" spans="3:5" ht="12.75" x14ac:dyDescent="0.2">
      <c r="C777" s="12"/>
      <c r="E777" s="12"/>
    </row>
    <row r="778" spans="3:5" ht="12.75" x14ac:dyDescent="0.2">
      <c r="C778" s="12"/>
      <c r="E778" s="12"/>
    </row>
    <row r="779" spans="3:5" ht="12.75" x14ac:dyDescent="0.2">
      <c r="C779" s="12"/>
      <c r="E779" s="12"/>
    </row>
    <row r="780" spans="3:5" ht="12.75" x14ac:dyDescent="0.2">
      <c r="C780" s="12"/>
      <c r="E780" s="12"/>
    </row>
    <row r="781" spans="3:5" ht="12.75" x14ac:dyDescent="0.2">
      <c r="C781" s="12"/>
      <c r="E781" s="12"/>
    </row>
    <row r="782" spans="3:5" ht="12.75" x14ac:dyDescent="0.2">
      <c r="C782" s="12"/>
      <c r="E782" s="12"/>
    </row>
    <row r="783" spans="3:5" ht="12.75" x14ac:dyDescent="0.2">
      <c r="C783" s="12"/>
      <c r="E783" s="12"/>
    </row>
    <row r="784" spans="3:5" ht="12.75" x14ac:dyDescent="0.2">
      <c r="C784" s="12"/>
      <c r="E784" s="12"/>
    </row>
    <row r="785" spans="3:5" ht="12.75" x14ac:dyDescent="0.2">
      <c r="C785" s="12"/>
      <c r="E785" s="12"/>
    </row>
    <row r="786" spans="3:5" ht="12.75" x14ac:dyDescent="0.2">
      <c r="C786" s="12"/>
      <c r="E786" s="12"/>
    </row>
    <row r="787" spans="3:5" ht="12.75" x14ac:dyDescent="0.2">
      <c r="C787" s="12"/>
      <c r="E787" s="12"/>
    </row>
    <row r="788" spans="3:5" ht="12.75" x14ac:dyDescent="0.2">
      <c r="C788" s="12"/>
      <c r="E788" s="12"/>
    </row>
    <row r="789" spans="3:5" ht="12.75" x14ac:dyDescent="0.2">
      <c r="C789" s="12"/>
      <c r="E789" s="12"/>
    </row>
    <row r="790" spans="3:5" ht="12.75" x14ac:dyDescent="0.2">
      <c r="C790" s="12"/>
      <c r="E790" s="12"/>
    </row>
    <row r="791" spans="3:5" ht="12.75" x14ac:dyDescent="0.2">
      <c r="C791" s="12"/>
      <c r="E791" s="12"/>
    </row>
    <row r="792" spans="3:5" ht="12.75" x14ac:dyDescent="0.2">
      <c r="C792" s="12"/>
      <c r="E792" s="12"/>
    </row>
    <row r="793" spans="3:5" ht="12.75" x14ac:dyDescent="0.2">
      <c r="C793" s="12"/>
      <c r="E793" s="12"/>
    </row>
    <row r="794" spans="3:5" ht="12.75" x14ac:dyDescent="0.2">
      <c r="C794" s="12"/>
      <c r="E794" s="12"/>
    </row>
    <row r="795" spans="3:5" ht="12.75" x14ac:dyDescent="0.2">
      <c r="C795" s="12"/>
      <c r="E795" s="12"/>
    </row>
    <row r="796" spans="3:5" ht="12.75" x14ac:dyDescent="0.2">
      <c r="C796" s="12"/>
      <c r="E796" s="12"/>
    </row>
    <row r="797" spans="3:5" ht="12.75" x14ac:dyDescent="0.2">
      <c r="C797" s="12"/>
      <c r="E797" s="12"/>
    </row>
    <row r="798" spans="3:5" ht="12.75" x14ac:dyDescent="0.2">
      <c r="C798" s="12"/>
      <c r="E798" s="12"/>
    </row>
    <row r="799" spans="3:5" ht="12.75" x14ac:dyDescent="0.2">
      <c r="C799" s="12"/>
      <c r="E799" s="12"/>
    </row>
    <row r="800" spans="3:5" ht="12.75" x14ac:dyDescent="0.2">
      <c r="C800" s="12"/>
      <c r="E800" s="12"/>
    </row>
    <row r="801" spans="3:5" ht="12.75" x14ac:dyDescent="0.2">
      <c r="C801" s="12"/>
      <c r="E801" s="12"/>
    </row>
    <row r="802" spans="3:5" ht="12.75" x14ac:dyDescent="0.2">
      <c r="C802" s="12"/>
      <c r="E802" s="12"/>
    </row>
    <row r="803" spans="3:5" ht="12.75" x14ac:dyDescent="0.2">
      <c r="C803" s="12"/>
      <c r="E803" s="12"/>
    </row>
    <row r="804" spans="3:5" ht="12.75" x14ac:dyDescent="0.2">
      <c r="C804" s="12"/>
      <c r="E804" s="12"/>
    </row>
    <row r="805" spans="3:5" ht="12.75" x14ac:dyDescent="0.2">
      <c r="C805" s="12"/>
      <c r="E805" s="12"/>
    </row>
    <row r="806" spans="3:5" ht="12.75" x14ac:dyDescent="0.2">
      <c r="C806" s="12"/>
      <c r="E806" s="12"/>
    </row>
    <row r="807" spans="3:5" ht="12.75" x14ac:dyDescent="0.2">
      <c r="C807" s="12"/>
      <c r="E807" s="12"/>
    </row>
    <row r="808" spans="3:5" ht="12.75" x14ac:dyDescent="0.2">
      <c r="C808" s="12"/>
      <c r="E808" s="12"/>
    </row>
    <row r="809" spans="3:5" ht="12.75" x14ac:dyDescent="0.2">
      <c r="C809" s="12"/>
      <c r="E809" s="12"/>
    </row>
    <row r="810" spans="3:5" ht="12.75" x14ac:dyDescent="0.2">
      <c r="C810" s="12"/>
      <c r="E810" s="12"/>
    </row>
    <row r="811" spans="3:5" ht="12.75" x14ac:dyDescent="0.2">
      <c r="C811" s="12"/>
      <c r="E811" s="12"/>
    </row>
    <row r="812" spans="3:5" ht="12.75" x14ac:dyDescent="0.2">
      <c r="C812" s="12"/>
      <c r="E812" s="12"/>
    </row>
    <row r="813" spans="3:5" ht="12.75" x14ac:dyDescent="0.2">
      <c r="C813" s="12"/>
      <c r="E813" s="12"/>
    </row>
    <row r="814" spans="3:5" ht="12.75" x14ac:dyDescent="0.2">
      <c r="C814" s="12"/>
      <c r="E814" s="12"/>
    </row>
    <row r="815" spans="3:5" ht="12.75" x14ac:dyDescent="0.2">
      <c r="C815" s="12"/>
      <c r="E815" s="12"/>
    </row>
    <row r="816" spans="3:5" ht="12.75" x14ac:dyDescent="0.2">
      <c r="C816" s="12"/>
      <c r="E816" s="12"/>
    </row>
    <row r="817" spans="3:5" ht="12.75" x14ac:dyDescent="0.2">
      <c r="C817" s="12"/>
      <c r="E817" s="12"/>
    </row>
    <row r="818" spans="3:5" ht="12.75" x14ac:dyDescent="0.2">
      <c r="C818" s="12"/>
      <c r="E818" s="12"/>
    </row>
    <row r="819" spans="3:5" ht="12.75" x14ac:dyDescent="0.2">
      <c r="C819" s="12"/>
      <c r="E819" s="12"/>
    </row>
    <row r="820" spans="3:5" ht="12.75" x14ac:dyDescent="0.2">
      <c r="C820" s="12"/>
      <c r="E820" s="12"/>
    </row>
    <row r="821" spans="3:5" ht="12.75" x14ac:dyDescent="0.2">
      <c r="C821" s="12"/>
      <c r="E821" s="12"/>
    </row>
    <row r="822" spans="3:5" ht="12.75" x14ac:dyDescent="0.2">
      <c r="C822" s="12"/>
      <c r="E822" s="12"/>
    </row>
    <row r="823" spans="3:5" ht="12.75" x14ac:dyDescent="0.2">
      <c r="C823" s="12"/>
      <c r="E823" s="12"/>
    </row>
    <row r="824" spans="3:5" ht="12.75" x14ac:dyDescent="0.2">
      <c r="C824" s="12"/>
      <c r="E824" s="12"/>
    </row>
    <row r="825" spans="3:5" ht="12.75" x14ac:dyDescent="0.2">
      <c r="C825" s="12"/>
      <c r="E825" s="12"/>
    </row>
    <row r="826" spans="3:5" ht="12.75" x14ac:dyDescent="0.2">
      <c r="C826" s="12"/>
      <c r="E826" s="12"/>
    </row>
    <row r="827" spans="3:5" ht="12.75" x14ac:dyDescent="0.2">
      <c r="C827" s="12"/>
      <c r="E827" s="12"/>
    </row>
    <row r="828" spans="3:5" ht="12.75" x14ac:dyDescent="0.2">
      <c r="C828" s="12"/>
      <c r="E828" s="12"/>
    </row>
    <row r="829" spans="3:5" ht="12.75" x14ac:dyDescent="0.2">
      <c r="C829" s="12"/>
      <c r="E829" s="12"/>
    </row>
    <row r="830" spans="3:5" ht="12.75" x14ac:dyDescent="0.2">
      <c r="C830" s="12"/>
      <c r="E830" s="12"/>
    </row>
    <row r="831" spans="3:5" ht="12.75" x14ac:dyDescent="0.2">
      <c r="C831" s="12"/>
      <c r="E831" s="12"/>
    </row>
    <row r="832" spans="3:5" ht="12.75" x14ac:dyDescent="0.2">
      <c r="C832" s="12"/>
      <c r="E832" s="12"/>
    </row>
    <row r="833" spans="3:5" ht="12.75" x14ac:dyDescent="0.2">
      <c r="C833" s="12"/>
      <c r="E833" s="12"/>
    </row>
    <row r="834" spans="3:5" ht="12.75" x14ac:dyDescent="0.2">
      <c r="C834" s="12"/>
      <c r="E834" s="12"/>
    </row>
    <row r="835" spans="3:5" ht="12.75" x14ac:dyDescent="0.2">
      <c r="C835" s="12"/>
      <c r="E835" s="12"/>
    </row>
    <row r="836" spans="3:5" ht="12.75" x14ac:dyDescent="0.2">
      <c r="C836" s="12"/>
      <c r="E836" s="12"/>
    </row>
    <row r="837" spans="3:5" ht="12.75" x14ac:dyDescent="0.2">
      <c r="C837" s="12"/>
      <c r="E837" s="12"/>
    </row>
    <row r="838" spans="3:5" ht="12.75" x14ac:dyDescent="0.2">
      <c r="C838" s="12"/>
      <c r="E838" s="12"/>
    </row>
    <row r="839" spans="3:5" ht="12.75" x14ac:dyDescent="0.2">
      <c r="C839" s="12"/>
      <c r="E839" s="12"/>
    </row>
    <row r="840" spans="3:5" ht="12.75" x14ac:dyDescent="0.2">
      <c r="C840" s="12"/>
      <c r="E840" s="12"/>
    </row>
    <row r="841" spans="3:5" ht="12.75" x14ac:dyDescent="0.2">
      <c r="C841" s="12"/>
      <c r="E841" s="12"/>
    </row>
    <row r="842" spans="3:5" ht="12.75" x14ac:dyDescent="0.2">
      <c r="C842" s="12"/>
      <c r="E842" s="12"/>
    </row>
    <row r="843" spans="3:5" ht="12.75" x14ac:dyDescent="0.2">
      <c r="C843" s="12"/>
      <c r="E843" s="12"/>
    </row>
    <row r="844" spans="3:5" ht="12.75" x14ac:dyDescent="0.2">
      <c r="C844" s="12"/>
      <c r="E844" s="12"/>
    </row>
    <row r="845" spans="3:5" ht="12.75" x14ac:dyDescent="0.2">
      <c r="C845" s="12"/>
      <c r="E845" s="12"/>
    </row>
    <row r="846" spans="3:5" ht="12.75" x14ac:dyDescent="0.2">
      <c r="C846" s="12"/>
      <c r="E846" s="12"/>
    </row>
    <row r="847" spans="3:5" ht="12.75" x14ac:dyDescent="0.2">
      <c r="C847" s="12"/>
      <c r="E847" s="12"/>
    </row>
    <row r="848" spans="3:5" ht="12.75" x14ac:dyDescent="0.2">
      <c r="C848" s="12"/>
      <c r="E848" s="12"/>
    </row>
    <row r="849" spans="3:5" ht="12.75" x14ac:dyDescent="0.2">
      <c r="C849" s="12"/>
      <c r="E849" s="12"/>
    </row>
    <row r="850" spans="3:5" ht="12.75" x14ac:dyDescent="0.2">
      <c r="C850" s="12"/>
      <c r="E850" s="12"/>
    </row>
    <row r="851" spans="3:5" ht="12.75" x14ac:dyDescent="0.2">
      <c r="C851" s="12"/>
      <c r="E851" s="12"/>
    </row>
    <row r="852" spans="3:5" ht="12.75" x14ac:dyDescent="0.2">
      <c r="C852" s="12"/>
      <c r="E852" s="12"/>
    </row>
    <row r="853" spans="3:5" ht="12.75" x14ac:dyDescent="0.2">
      <c r="C853" s="12"/>
      <c r="E853" s="12"/>
    </row>
    <row r="854" spans="3:5" ht="12.75" x14ac:dyDescent="0.2">
      <c r="C854" s="12"/>
      <c r="E854" s="12"/>
    </row>
    <row r="855" spans="3:5" ht="12.75" x14ac:dyDescent="0.2">
      <c r="C855" s="12"/>
      <c r="E855" s="12"/>
    </row>
    <row r="856" spans="3:5" ht="12.75" x14ac:dyDescent="0.2">
      <c r="C856" s="12"/>
      <c r="E856" s="12"/>
    </row>
    <row r="857" spans="3:5" ht="12.75" x14ac:dyDescent="0.2">
      <c r="C857" s="12"/>
      <c r="E857" s="12"/>
    </row>
    <row r="858" spans="3:5" ht="12.75" x14ac:dyDescent="0.2">
      <c r="C858" s="12"/>
      <c r="E858" s="12"/>
    </row>
    <row r="859" spans="3:5" ht="12.75" x14ac:dyDescent="0.2">
      <c r="C859" s="12"/>
      <c r="E859" s="12"/>
    </row>
    <row r="860" spans="3:5" ht="12.75" x14ac:dyDescent="0.2">
      <c r="C860" s="12"/>
      <c r="E860" s="12"/>
    </row>
    <row r="861" spans="3:5" ht="12.75" x14ac:dyDescent="0.2">
      <c r="C861" s="12"/>
      <c r="E861" s="12"/>
    </row>
    <row r="862" spans="3:5" ht="12.75" x14ac:dyDescent="0.2">
      <c r="C862" s="12"/>
      <c r="E862" s="12"/>
    </row>
    <row r="863" spans="3:5" ht="12.75" x14ac:dyDescent="0.2">
      <c r="C863" s="12"/>
      <c r="E863" s="12"/>
    </row>
    <row r="864" spans="3:5" ht="12.75" x14ac:dyDescent="0.2">
      <c r="C864" s="12"/>
      <c r="E864" s="12"/>
    </row>
    <row r="865" spans="3:5" ht="12.75" x14ac:dyDescent="0.2">
      <c r="C865" s="12"/>
      <c r="E865" s="12"/>
    </row>
    <row r="866" spans="3:5" ht="12.75" x14ac:dyDescent="0.2">
      <c r="C866" s="12"/>
      <c r="E866" s="12"/>
    </row>
    <row r="867" spans="3:5" ht="12.75" x14ac:dyDescent="0.2">
      <c r="C867" s="12"/>
      <c r="E867" s="12"/>
    </row>
    <row r="868" spans="3:5" ht="12.75" x14ac:dyDescent="0.2">
      <c r="C868" s="12"/>
      <c r="E868" s="12"/>
    </row>
    <row r="869" spans="3:5" ht="12.75" x14ac:dyDescent="0.2">
      <c r="C869" s="12"/>
      <c r="E869" s="12"/>
    </row>
    <row r="870" spans="3:5" ht="12.75" x14ac:dyDescent="0.2">
      <c r="C870" s="12"/>
      <c r="E870" s="12"/>
    </row>
    <row r="871" spans="3:5" ht="12.75" x14ac:dyDescent="0.2">
      <c r="C871" s="12"/>
      <c r="E871" s="12"/>
    </row>
    <row r="872" spans="3:5" ht="12.75" x14ac:dyDescent="0.2">
      <c r="C872" s="12"/>
      <c r="E872" s="12"/>
    </row>
    <row r="873" spans="3:5" ht="12.75" x14ac:dyDescent="0.2">
      <c r="C873" s="12"/>
      <c r="E873" s="12"/>
    </row>
    <row r="874" spans="3:5" ht="12.75" x14ac:dyDescent="0.2">
      <c r="C874" s="12"/>
      <c r="E874" s="12"/>
    </row>
    <row r="875" spans="3:5" ht="12.75" x14ac:dyDescent="0.2">
      <c r="C875" s="12"/>
      <c r="E875" s="12"/>
    </row>
    <row r="876" spans="3:5" ht="12.75" x14ac:dyDescent="0.2">
      <c r="C876" s="12"/>
      <c r="E876" s="12"/>
    </row>
    <row r="877" spans="3:5" ht="12.75" x14ac:dyDescent="0.2">
      <c r="C877" s="12"/>
      <c r="E877" s="12"/>
    </row>
    <row r="878" spans="3:5" ht="12.75" x14ac:dyDescent="0.2">
      <c r="C878" s="12"/>
      <c r="E878" s="12"/>
    </row>
    <row r="879" spans="3:5" ht="12.75" x14ac:dyDescent="0.2">
      <c r="C879" s="12"/>
      <c r="E879" s="12"/>
    </row>
    <row r="880" spans="3:5" ht="12.75" x14ac:dyDescent="0.2">
      <c r="C880" s="12"/>
      <c r="E880" s="12"/>
    </row>
    <row r="881" spans="3:5" ht="12.75" x14ac:dyDescent="0.2">
      <c r="C881" s="12"/>
      <c r="E881" s="12"/>
    </row>
    <row r="882" spans="3:5" ht="12.75" x14ac:dyDescent="0.2">
      <c r="C882" s="12"/>
      <c r="E882" s="12"/>
    </row>
    <row r="883" spans="3:5" ht="12.75" x14ac:dyDescent="0.2">
      <c r="C883" s="12"/>
      <c r="E883" s="12"/>
    </row>
    <row r="884" spans="3:5" ht="12.75" x14ac:dyDescent="0.2">
      <c r="C884" s="12"/>
      <c r="E884" s="12"/>
    </row>
    <row r="885" spans="3:5" ht="12.75" x14ac:dyDescent="0.2">
      <c r="C885" s="12"/>
      <c r="E885" s="12"/>
    </row>
    <row r="886" spans="3:5" ht="12.75" x14ac:dyDescent="0.2">
      <c r="C886" s="12"/>
      <c r="E886" s="12"/>
    </row>
    <row r="887" spans="3:5" ht="12.75" x14ac:dyDescent="0.2">
      <c r="C887" s="12"/>
      <c r="E887" s="12"/>
    </row>
    <row r="888" spans="3:5" ht="12.75" x14ac:dyDescent="0.2">
      <c r="C888" s="12"/>
      <c r="E888" s="12"/>
    </row>
    <row r="889" spans="3:5" ht="12.75" x14ac:dyDescent="0.2">
      <c r="C889" s="12"/>
      <c r="E889" s="12"/>
    </row>
    <row r="890" spans="3:5" ht="12.75" x14ac:dyDescent="0.2">
      <c r="C890" s="12"/>
      <c r="E890" s="12"/>
    </row>
    <row r="891" spans="3:5" ht="12.75" x14ac:dyDescent="0.2">
      <c r="C891" s="12"/>
      <c r="E891" s="12"/>
    </row>
    <row r="892" spans="3:5" ht="12.75" x14ac:dyDescent="0.2">
      <c r="C892" s="12"/>
      <c r="E892" s="12"/>
    </row>
    <row r="893" spans="3:5" ht="12.75" x14ac:dyDescent="0.2">
      <c r="C893" s="12"/>
      <c r="E893" s="12"/>
    </row>
    <row r="894" spans="3:5" ht="12.75" x14ac:dyDescent="0.2">
      <c r="C894" s="12"/>
      <c r="E894" s="12"/>
    </row>
    <row r="895" spans="3:5" ht="12.75" x14ac:dyDescent="0.2">
      <c r="C895" s="12"/>
      <c r="E895" s="12"/>
    </row>
    <row r="896" spans="3:5" ht="12.75" x14ac:dyDescent="0.2">
      <c r="C896" s="12"/>
      <c r="E896" s="12"/>
    </row>
    <row r="897" spans="3:5" ht="12.75" x14ac:dyDescent="0.2">
      <c r="C897" s="12"/>
      <c r="E897" s="12"/>
    </row>
    <row r="898" spans="3:5" ht="12.75" x14ac:dyDescent="0.2">
      <c r="C898" s="12"/>
      <c r="E898" s="12"/>
    </row>
    <row r="899" spans="3:5" ht="12.75" x14ac:dyDescent="0.2">
      <c r="C899" s="12"/>
      <c r="E899" s="12"/>
    </row>
    <row r="900" spans="3:5" ht="12.75" x14ac:dyDescent="0.2">
      <c r="C900" s="12"/>
      <c r="E900" s="12"/>
    </row>
    <row r="901" spans="3:5" ht="12.75" x14ac:dyDescent="0.2">
      <c r="C901" s="12"/>
      <c r="E901" s="12"/>
    </row>
    <row r="902" spans="3:5" ht="12.75" x14ac:dyDescent="0.2">
      <c r="C902" s="12"/>
      <c r="E902" s="12"/>
    </row>
    <row r="903" spans="3:5" ht="12.75" x14ac:dyDescent="0.2">
      <c r="C903" s="12"/>
      <c r="E903" s="12"/>
    </row>
    <row r="904" spans="3:5" ht="12.75" x14ac:dyDescent="0.2">
      <c r="C904" s="12"/>
      <c r="E904" s="12"/>
    </row>
    <row r="905" spans="3:5" ht="12.75" x14ac:dyDescent="0.2">
      <c r="C905" s="12"/>
      <c r="E905" s="12"/>
    </row>
    <row r="906" spans="3:5" ht="12.75" x14ac:dyDescent="0.2">
      <c r="C906" s="12"/>
      <c r="E906" s="12"/>
    </row>
    <row r="907" spans="3:5" ht="12.75" x14ac:dyDescent="0.2">
      <c r="C907" s="12"/>
      <c r="E907" s="12"/>
    </row>
    <row r="908" spans="3:5" ht="12.75" x14ac:dyDescent="0.2">
      <c r="C908" s="12"/>
      <c r="E908" s="12"/>
    </row>
    <row r="909" spans="3:5" ht="12.75" x14ac:dyDescent="0.2">
      <c r="C909" s="12"/>
      <c r="E909" s="12"/>
    </row>
    <row r="910" spans="3:5" ht="12.75" x14ac:dyDescent="0.2">
      <c r="C910" s="12"/>
      <c r="E910" s="12"/>
    </row>
    <row r="911" spans="3:5" ht="12.75" x14ac:dyDescent="0.2">
      <c r="C911" s="12"/>
      <c r="E911" s="12"/>
    </row>
    <row r="912" spans="3:5" ht="12.75" x14ac:dyDescent="0.2">
      <c r="C912" s="12"/>
      <c r="E912" s="12"/>
    </row>
    <row r="913" spans="3:5" ht="12.75" x14ac:dyDescent="0.2">
      <c r="C913" s="12"/>
      <c r="E913" s="12"/>
    </row>
    <row r="914" spans="3:5" ht="12.75" x14ac:dyDescent="0.2">
      <c r="C914" s="12"/>
      <c r="E914" s="12"/>
    </row>
    <row r="915" spans="3:5" ht="12.75" x14ac:dyDescent="0.2">
      <c r="C915" s="12"/>
      <c r="E915" s="12"/>
    </row>
    <row r="916" spans="3:5" ht="12.75" x14ac:dyDescent="0.2">
      <c r="C916" s="12"/>
      <c r="E916" s="12"/>
    </row>
    <row r="917" spans="3:5" ht="12.75" x14ac:dyDescent="0.2">
      <c r="C917" s="12"/>
      <c r="E917" s="12"/>
    </row>
    <row r="918" spans="3:5" ht="12.75" x14ac:dyDescent="0.2">
      <c r="C918" s="12"/>
      <c r="E918" s="12"/>
    </row>
    <row r="919" spans="3:5" ht="12.75" x14ac:dyDescent="0.2">
      <c r="C919" s="12"/>
      <c r="E919" s="12"/>
    </row>
    <row r="920" spans="3:5" ht="12.75" x14ac:dyDescent="0.2">
      <c r="C920" s="12"/>
      <c r="E920" s="12"/>
    </row>
    <row r="921" spans="3:5" ht="12.75" x14ac:dyDescent="0.2">
      <c r="C921" s="12"/>
      <c r="E921" s="12"/>
    </row>
    <row r="922" spans="3:5" ht="12.75" x14ac:dyDescent="0.2">
      <c r="C922" s="12"/>
      <c r="E922" s="12"/>
    </row>
    <row r="923" spans="3:5" ht="12.75" x14ac:dyDescent="0.2">
      <c r="C923" s="12"/>
      <c r="E923" s="12"/>
    </row>
    <row r="924" spans="3:5" ht="12.75" x14ac:dyDescent="0.2">
      <c r="C924" s="12"/>
      <c r="E924" s="12"/>
    </row>
    <row r="925" spans="3:5" ht="12.75" x14ac:dyDescent="0.2">
      <c r="C925" s="12"/>
      <c r="E925" s="12"/>
    </row>
    <row r="926" spans="3:5" ht="12.75" x14ac:dyDescent="0.2">
      <c r="C926" s="12"/>
      <c r="E926" s="12"/>
    </row>
    <row r="927" spans="3:5" ht="12.75" x14ac:dyDescent="0.2">
      <c r="C927" s="12"/>
      <c r="E927" s="12"/>
    </row>
    <row r="928" spans="3:5" ht="12.75" x14ac:dyDescent="0.2">
      <c r="C928" s="12"/>
      <c r="E928" s="12"/>
    </row>
    <row r="929" spans="3:5" ht="12.75" x14ac:dyDescent="0.2">
      <c r="C929" s="12"/>
      <c r="E929" s="12"/>
    </row>
    <row r="930" spans="3:5" ht="12.75" x14ac:dyDescent="0.2">
      <c r="C930" s="12"/>
      <c r="E930" s="12"/>
    </row>
    <row r="931" spans="3:5" ht="12.75" x14ac:dyDescent="0.2">
      <c r="C931" s="12"/>
      <c r="E931" s="12"/>
    </row>
    <row r="932" spans="3:5" ht="12.75" x14ac:dyDescent="0.2">
      <c r="C932" s="12"/>
      <c r="E932" s="12"/>
    </row>
    <row r="933" spans="3:5" ht="12.75" x14ac:dyDescent="0.2">
      <c r="C933" s="12"/>
      <c r="E933" s="12"/>
    </row>
    <row r="934" spans="3:5" ht="12.75" x14ac:dyDescent="0.2">
      <c r="C934" s="12"/>
      <c r="E934" s="12"/>
    </row>
    <row r="935" spans="3:5" ht="12.75" x14ac:dyDescent="0.2">
      <c r="C935" s="12"/>
      <c r="E935" s="12"/>
    </row>
    <row r="936" spans="3:5" ht="12.75" x14ac:dyDescent="0.2">
      <c r="C936" s="12"/>
      <c r="E936" s="12"/>
    </row>
    <row r="937" spans="3:5" ht="12.75" x14ac:dyDescent="0.2">
      <c r="C937" s="12"/>
      <c r="E937" s="12"/>
    </row>
    <row r="938" spans="3:5" ht="12.75" x14ac:dyDescent="0.2">
      <c r="C938" s="12"/>
      <c r="E938" s="12"/>
    </row>
    <row r="939" spans="3:5" ht="12.75" x14ac:dyDescent="0.2">
      <c r="C939" s="12"/>
      <c r="E939" s="12"/>
    </row>
    <row r="940" spans="3:5" ht="12.75" x14ac:dyDescent="0.2">
      <c r="C940" s="12"/>
      <c r="E940" s="12"/>
    </row>
    <row r="941" spans="3:5" ht="12.75" x14ac:dyDescent="0.2">
      <c r="C941" s="12"/>
      <c r="E941" s="12"/>
    </row>
    <row r="942" spans="3:5" ht="12.75" x14ac:dyDescent="0.2">
      <c r="C942" s="12"/>
      <c r="E942" s="12"/>
    </row>
    <row r="943" spans="3:5" ht="12.75" x14ac:dyDescent="0.2">
      <c r="C943" s="12"/>
      <c r="E943" s="12"/>
    </row>
    <row r="944" spans="3:5" ht="12.75" x14ac:dyDescent="0.2">
      <c r="C944" s="12"/>
      <c r="E944" s="12"/>
    </row>
    <row r="945" spans="3:5" ht="12.75" x14ac:dyDescent="0.2">
      <c r="C945" s="12"/>
      <c r="E945" s="12"/>
    </row>
    <row r="946" spans="3:5" ht="12.75" x14ac:dyDescent="0.2">
      <c r="C946" s="12"/>
      <c r="E946" s="12"/>
    </row>
    <row r="947" spans="3:5" ht="12.75" x14ac:dyDescent="0.2">
      <c r="C947" s="12"/>
      <c r="E947" s="12"/>
    </row>
    <row r="948" spans="3:5" ht="12.75" x14ac:dyDescent="0.2">
      <c r="C948" s="12"/>
      <c r="E948" s="12"/>
    </row>
    <row r="949" spans="3:5" ht="12.75" x14ac:dyDescent="0.2">
      <c r="C949" s="12"/>
      <c r="E949" s="12"/>
    </row>
    <row r="950" spans="3:5" ht="12.75" x14ac:dyDescent="0.2">
      <c r="C950" s="12"/>
      <c r="E950" s="12"/>
    </row>
    <row r="951" spans="3:5" ht="12.75" x14ac:dyDescent="0.2">
      <c r="C951" s="12"/>
      <c r="E951" s="12"/>
    </row>
    <row r="952" spans="3:5" ht="12.75" x14ac:dyDescent="0.2">
      <c r="C952" s="12"/>
      <c r="E952" s="12"/>
    </row>
    <row r="953" spans="3:5" ht="12.75" x14ac:dyDescent="0.2">
      <c r="C953" s="12"/>
      <c r="E953" s="12"/>
    </row>
    <row r="954" spans="3:5" ht="12.75" x14ac:dyDescent="0.2">
      <c r="C954" s="12"/>
      <c r="E954" s="12"/>
    </row>
    <row r="955" spans="3:5" ht="12.75" x14ac:dyDescent="0.2">
      <c r="C955" s="12"/>
      <c r="E955" s="12"/>
    </row>
    <row r="956" spans="3:5" ht="12.75" x14ac:dyDescent="0.2">
      <c r="C956" s="12"/>
      <c r="E956" s="12"/>
    </row>
    <row r="957" spans="3:5" ht="12.75" x14ac:dyDescent="0.2">
      <c r="C957" s="12"/>
      <c r="E957" s="12"/>
    </row>
    <row r="958" spans="3:5" ht="12.75" x14ac:dyDescent="0.2">
      <c r="C958" s="12"/>
      <c r="E958" s="12"/>
    </row>
    <row r="959" spans="3:5" ht="12.75" x14ac:dyDescent="0.2">
      <c r="C959" s="12"/>
      <c r="E959" s="12"/>
    </row>
    <row r="960" spans="3:5" ht="12.75" x14ac:dyDescent="0.2">
      <c r="C960" s="12"/>
      <c r="E960" s="12"/>
    </row>
    <row r="961" spans="3:5" ht="12.75" x14ac:dyDescent="0.2">
      <c r="C961" s="12"/>
      <c r="E961" s="12"/>
    </row>
    <row r="962" spans="3:5" ht="12.75" x14ac:dyDescent="0.2">
      <c r="C962" s="12"/>
      <c r="E962" s="12"/>
    </row>
    <row r="963" spans="3:5" ht="12.75" x14ac:dyDescent="0.2">
      <c r="C963" s="12"/>
      <c r="E963" s="12"/>
    </row>
    <row r="964" spans="3:5" ht="12.75" x14ac:dyDescent="0.2">
      <c r="C964" s="12"/>
      <c r="E964" s="12"/>
    </row>
    <row r="965" spans="3:5" ht="12.75" x14ac:dyDescent="0.2">
      <c r="C965" s="12"/>
      <c r="E965" s="12"/>
    </row>
    <row r="966" spans="3:5" ht="12.75" x14ac:dyDescent="0.2">
      <c r="C966" s="12"/>
      <c r="E966" s="12"/>
    </row>
    <row r="967" spans="3:5" ht="12.75" x14ac:dyDescent="0.2">
      <c r="C967" s="12"/>
      <c r="E967" s="12"/>
    </row>
    <row r="968" spans="3:5" ht="12.75" x14ac:dyDescent="0.2">
      <c r="C968" s="12"/>
      <c r="E968" s="12"/>
    </row>
    <row r="969" spans="3:5" ht="12.75" x14ac:dyDescent="0.2">
      <c r="C969" s="12"/>
      <c r="E969" s="12"/>
    </row>
    <row r="970" spans="3:5" ht="12.75" x14ac:dyDescent="0.2">
      <c r="C970" s="12"/>
      <c r="E970" s="12"/>
    </row>
    <row r="971" spans="3:5" ht="12.75" x14ac:dyDescent="0.2">
      <c r="C971" s="12"/>
      <c r="E971" s="12"/>
    </row>
    <row r="972" spans="3:5" ht="12.75" x14ac:dyDescent="0.2">
      <c r="C972" s="12"/>
      <c r="E972" s="12"/>
    </row>
    <row r="973" spans="3:5" ht="12.75" x14ac:dyDescent="0.2">
      <c r="C973" s="12"/>
      <c r="E973" s="12"/>
    </row>
    <row r="974" spans="3:5" ht="12.75" x14ac:dyDescent="0.2">
      <c r="C974" s="12"/>
      <c r="E974" s="12"/>
    </row>
    <row r="975" spans="3:5" ht="12.75" x14ac:dyDescent="0.2">
      <c r="C975" s="12"/>
      <c r="E975" s="12"/>
    </row>
    <row r="976" spans="3:5" ht="12.75" x14ac:dyDescent="0.2">
      <c r="C976" s="12"/>
      <c r="E976" s="12"/>
    </row>
    <row r="977" spans="3:5" ht="12.75" x14ac:dyDescent="0.2">
      <c r="C977" s="12"/>
      <c r="E977" s="12"/>
    </row>
    <row r="978" spans="3:5" ht="12.75" x14ac:dyDescent="0.2">
      <c r="C978" s="12"/>
      <c r="E978" s="12"/>
    </row>
    <row r="979" spans="3:5" ht="12.75" x14ac:dyDescent="0.2">
      <c r="C979" s="12"/>
      <c r="E979" s="12"/>
    </row>
    <row r="980" spans="3:5" ht="12.75" x14ac:dyDescent="0.2">
      <c r="C980" s="12"/>
      <c r="E980" s="12"/>
    </row>
    <row r="981" spans="3:5" ht="12.75" x14ac:dyDescent="0.2">
      <c r="C981" s="12"/>
      <c r="E981" s="12"/>
    </row>
    <row r="982" spans="3:5" ht="12.75" x14ac:dyDescent="0.2">
      <c r="C982" s="12"/>
      <c r="E982" s="12"/>
    </row>
    <row r="983" spans="3:5" ht="12.75" x14ac:dyDescent="0.2">
      <c r="C983" s="12"/>
      <c r="E983" s="12"/>
    </row>
    <row r="984" spans="3:5" ht="12.75" x14ac:dyDescent="0.2">
      <c r="C984" s="12"/>
      <c r="E984" s="12"/>
    </row>
    <row r="985" spans="3:5" ht="12.75" x14ac:dyDescent="0.2">
      <c r="C985" s="12"/>
      <c r="E985" s="12"/>
    </row>
    <row r="986" spans="3:5" ht="12.75" x14ac:dyDescent="0.2">
      <c r="C986" s="12"/>
      <c r="E986" s="12"/>
    </row>
    <row r="987" spans="3:5" ht="12.75" x14ac:dyDescent="0.2">
      <c r="C987" s="12"/>
      <c r="E987" s="12"/>
    </row>
    <row r="988" spans="3:5" ht="12.75" x14ac:dyDescent="0.2">
      <c r="C988" s="12"/>
      <c r="E988" s="12"/>
    </row>
    <row r="989" spans="3:5" ht="12.75" x14ac:dyDescent="0.2">
      <c r="C989" s="12"/>
      <c r="E989" s="12"/>
    </row>
    <row r="990" spans="3:5" ht="12.75" x14ac:dyDescent="0.2">
      <c r="C990" s="12"/>
      <c r="E990" s="12"/>
    </row>
    <row r="991" spans="3:5" ht="12.75" x14ac:dyDescent="0.2">
      <c r="C991" s="12"/>
      <c r="E991" s="12"/>
    </row>
    <row r="992" spans="3:5" ht="12.75" x14ac:dyDescent="0.2">
      <c r="C992" s="12"/>
      <c r="E992" s="12"/>
    </row>
    <row r="993" spans="3:10" ht="12.75" x14ac:dyDescent="0.2">
      <c r="C993" s="12"/>
      <c r="E993" s="12"/>
    </row>
    <row r="994" spans="3:10" ht="12.75" x14ac:dyDescent="0.2">
      <c r="C994" s="12"/>
      <c r="E994" s="12"/>
    </row>
    <row r="995" spans="3:10" ht="12.75" x14ac:dyDescent="0.2">
      <c r="C995" s="12"/>
      <c r="E995" s="12"/>
    </row>
    <row r="996" spans="3:10" ht="12.75" x14ac:dyDescent="0.2">
      <c r="C996" s="12"/>
      <c r="E996" s="12"/>
    </row>
    <row r="997" spans="3:10" ht="12.75" x14ac:dyDescent="0.2">
      <c r="C997" s="12"/>
      <c r="E997" s="12"/>
    </row>
    <row r="998" spans="3:10" ht="12.75" x14ac:dyDescent="0.2">
      <c r="C998" s="12"/>
      <c r="E998" s="12"/>
    </row>
    <row r="999" spans="3:10" ht="12.75" x14ac:dyDescent="0.2">
      <c r="C999" s="12"/>
      <c r="E999" s="12"/>
    </row>
    <row r="1000" spans="3:10" ht="12.75" x14ac:dyDescent="0.2">
      <c r="C1000" s="12"/>
      <c r="E1000" s="12"/>
    </row>
    <row r="1001" spans="3:10" ht="12.75" x14ac:dyDescent="0.2">
      <c r="C1001" s="12"/>
      <c r="E1001" s="12"/>
    </row>
    <row r="1002" spans="3:10" ht="12.75" x14ac:dyDescent="0.2">
      <c r="C1002" s="12"/>
      <c r="E1002" s="12"/>
    </row>
    <row r="1003" spans="3:10" ht="12.75" x14ac:dyDescent="0.2">
      <c r="C1003" s="12"/>
      <c r="E1003" s="12"/>
    </row>
    <row r="1004" spans="3:10" ht="12.75" x14ac:dyDescent="0.2">
      <c r="C1004" s="12"/>
      <c r="E1004" s="12"/>
    </row>
    <row r="1005" spans="3:10" ht="12.75" x14ac:dyDescent="0.2">
      <c r="C1005" s="12"/>
      <c r="E1005" s="12"/>
    </row>
    <row r="1006" spans="3:10" ht="12.75" x14ac:dyDescent="0.2">
      <c r="C1006" s="12"/>
      <c r="E1006" s="12"/>
    </row>
    <row r="1007" spans="3:10" ht="12.75" x14ac:dyDescent="0.2">
      <c r="C1007" s="12"/>
      <c r="E1007" s="12"/>
    </row>
    <row r="1008" spans="3:10" ht="12.75" x14ac:dyDescent="0.2">
      <c r="C1008" s="12"/>
      <c r="E1008" s="12"/>
      <c r="J1008" s="16" t="s">
        <v>113</v>
      </c>
    </row>
  </sheetData>
  <mergeCells count="12">
    <mergeCell ref="J16:K16"/>
    <mergeCell ref="J17:K17"/>
    <mergeCell ref="J8:K8"/>
    <mergeCell ref="J9:K9"/>
    <mergeCell ref="L13:M13"/>
    <mergeCell ref="J14:K14"/>
    <mergeCell ref="J15:K15"/>
    <mergeCell ref="L18:M18"/>
    <mergeCell ref="L20:M20"/>
    <mergeCell ref="J24:K24"/>
    <mergeCell ref="L25:M25"/>
    <mergeCell ref="L26:M26"/>
  </mergeCells>
  <hyperlinks>
    <hyperlink ref="I4" r:id="rId1" xr:uid="{00000000-0004-0000-0000-000000000000}"/>
    <hyperlink ref="I5" r:id="rId2" xr:uid="{00000000-0004-0000-0000-000001000000}"/>
    <hyperlink ref="I6" r:id="rId3" xr:uid="{00000000-0004-0000-0000-000002000000}"/>
    <hyperlink ref="I7" r:id="rId4" xr:uid="{00000000-0004-0000-0000-000003000000}"/>
    <hyperlink ref="I8" r:id="rId5" xr:uid="{00000000-0004-0000-0000-000004000000}"/>
    <hyperlink ref="I10" r:id="rId6" xr:uid="{00000000-0004-0000-0000-000005000000}"/>
    <hyperlink ref="I11" r:id="rId7" xr:uid="{00000000-0004-0000-0000-000006000000}"/>
    <hyperlink ref="I12" r:id="rId8" xr:uid="{00000000-0004-0000-0000-000007000000}"/>
    <hyperlink ref="I13" r:id="rId9" xr:uid="{00000000-0004-0000-0000-000008000000}"/>
    <hyperlink ref="L13" r:id="rId10" xr:uid="{00000000-0004-0000-0000-000009000000}"/>
    <hyperlink ref="I15" r:id="rId11" xr:uid="{00000000-0004-0000-0000-00000A000000}"/>
    <hyperlink ref="I16" r:id="rId12" xr:uid="{00000000-0004-0000-0000-00000B000000}"/>
    <hyperlink ref="I17" r:id="rId13" xr:uid="{00000000-0004-0000-0000-00000C000000}"/>
    <hyperlink ref="I18" r:id="rId14" xr:uid="{00000000-0004-0000-0000-00000D000000}"/>
    <hyperlink ref="L18" r:id="rId15" xr:uid="{00000000-0004-0000-0000-00000E000000}"/>
    <hyperlink ref="I19" r:id="rId16" xr:uid="{00000000-0004-0000-0000-00000F000000}"/>
    <hyperlink ref="L19" r:id="rId17" xr:uid="{00000000-0004-0000-0000-000010000000}"/>
    <hyperlink ref="I20" r:id="rId18" xr:uid="{00000000-0004-0000-0000-000011000000}"/>
    <hyperlink ref="L20" r:id="rId19" xr:uid="{00000000-0004-0000-0000-000012000000}"/>
    <hyperlink ref="I21" r:id="rId20" xr:uid="{00000000-0004-0000-0000-000013000000}"/>
    <hyperlink ref="I22" r:id="rId21" xr:uid="{00000000-0004-0000-0000-000014000000}"/>
    <hyperlink ref="I23" r:id="rId22" xr:uid="{00000000-0004-0000-0000-000015000000}"/>
    <hyperlink ref="I25" r:id="rId23" xr:uid="{00000000-0004-0000-0000-000016000000}"/>
    <hyperlink ref="L25" r:id="rId24" xr:uid="{00000000-0004-0000-0000-000017000000}"/>
    <hyperlink ref="I26" r:id="rId25" xr:uid="{00000000-0004-0000-0000-000018000000}"/>
    <hyperlink ref="L26" r:id="rId26" xr:uid="{00000000-0004-0000-0000-000019000000}"/>
    <hyperlink ref="I31" r:id="rId27" xr:uid="{00000000-0004-0000-0000-00001A000000}"/>
    <hyperlink ref="I32" r:id="rId28" xr:uid="{00000000-0004-0000-0000-00001B000000}"/>
    <hyperlink ref="I33" r:id="rId29" xr:uid="{00000000-0004-0000-0000-00001C000000}"/>
    <hyperlink ref="I34" r:id="rId30" xr:uid="{7A38248F-0786-45B7-BB53-1667B53F64D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Peter Barnes</cp:lastModifiedBy>
  <dcterms:modified xsi:type="dcterms:W3CDTF">2025-11-30T00:04:24Z</dcterms:modified>
</cp:coreProperties>
</file>